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sktop\"/>
    </mc:Choice>
  </mc:AlternateContent>
  <xr:revisionPtr revIDLastSave="0" documentId="13_ncr:1_{9F11FA59-702C-40C6-9ABF-604F51C5E201}" xr6:coauthVersionLast="47" xr6:coauthVersionMax="47" xr10:uidLastSave="{00000000-0000-0000-0000-000000000000}"/>
  <bookViews>
    <workbookView xWindow="-120" yWindow="-120" windowWidth="29040" windowHeight="15720" activeTab="2" xr2:uid="{63A9B8CA-83BF-48D9-A8B6-530B504F47C6}"/>
  </bookViews>
  <sheets>
    <sheet name="Cover" sheetId="1" r:id="rId1"/>
    <sheet name="Assumptions" sheetId="2" r:id="rId2"/>
    <sheet name="3 Statement Model" sheetId="3" r:id="rId3"/>
  </sheets>
  <definedNames>
    <definedName name="Company_Name">Cover!#REF!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3" l="1"/>
  <c r="J6" i="3"/>
  <c r="K6" i="3"/>
  <c r="L6" i="3"/>
  <c r="I10" i="3"/>
  <c r="J10" i="3"/>
  <c r="K10" i="3"/>
  <c r="L10" i="3"/>
  <c r="H16" i="3"/>
  <c r="H17" i="3" s="1"/>
  <c r="H18" i="3" s="1"/>
  <c r="H20" i="3" s="1"/>
  <c r="H22" i="3" s="1"/>
  <c r="H26" i="3" s="1"/>
  <c r="I25" i="3"/>
  <c r="J25" i="3"/>
  <c r="K25" i="3"/>
  <c r="L25" i="3" s="1"/>
  <c r="H25" i="3"/>
  <c r="I23" i="3"/>
  <c r="H23" i="3"/>
  <c r="I20" i="3"/>
  <c r="I22" i="3" s="1"/>
  <c r="J20" i="3"/>
  <c r="J22" i="3" s="1"/>
  <c r="K20" i="3"/>
  <c r="K22" i="3" s="1"/>
  <c r="L20" i="3"/>
  <c r="L22" i="3" s="1"/>
  <c r="I19" i="3"/>
  <c r="J19" i="3"/>
  <c r="K19" i="3" s="1"/>
  <c r="L19" i="3" s="1"/>
  <c r="H19" i="3"/>
  <c r="G18" i="3"/>
  <c r="I14" i="3"/>
  <c r="H14" i="3"/>
  <c r="H12" i="3"/>
  <c r="D16" i="2"/>
  <c r="C16" i="2"/>
  <c r="G16" i="3"/>
  <c r="H11" i="3"/>
  <c r="H9" i="3"/>
  <c r="H8" i="3"/>
  <c r="H6" i="3"/>
  <c r="I24" i="2"/>
  <c r="J24" i="2"/>
  <c r="K24" i="2"/>
  <c r="L24" i="2" s="1"/>
  <c r="H24" i="2"/>
  <c r="I20" i="2"/>
  <c r="J20" i="2"/>
  <c r="K20" i="2"/>
  <c r="L20" i="2" s="1"/>
  <c r="H20" i="2"/>
  <c r="I27" i="2"/>
  <c r="J27" i="2"/>
  <c r="K27" i="2" s="1"/>
  <c r="H27" i="2"/>
  <c r="H21" i="2"/>
  <c r="I21" i="2"/>
  <c r="J21" i="2"/>
  <c r="K21" i="2"/>
  <c r="L21" i="2"/>
  <c r="J11" i="3" l="1"/>
  <c r="J16" i="3" s="1"/>
  <c r="I11" i="3"/>
  <c r="I16" i="3" s="1"/>
  <c r="K24" i="3"/>
  <c r="K26" i="3"/>
  <c r="L24" i="3"/>
  <c r="L26" i="3"/>
  <c r="J26" i="3"/>
  <c r="J24" i="3"/>
  <c r="I24" i="3"/>
  <c r="I26" i="3"/>
  <c r="H24" i="3"/>
  <c r="J23" i="3"/>
  <c r="K23" i="3" s="1"/>
  <c r="J14" i="3"/>
  <c r="K14" i="3" s="1"/>
  <c r="I12" i="3"/>
  <c r="K11" i="3"/>
  <c r="K16" i="3" s="1"/>
  <c r="L11" i="3"/>
  <c r="L16" i="3" s="1"/>
  <c r="H10" i="3"/>
  <c r="L27" i="2"/>
  <c r="I4" i="2"/>
  <c r="J4" i="2"/>
  <c r="K4" i="2"/>
  <c r="L4" i="2"/>
  <c r="H4" i="2"/>
  <c r="H4" i="3" s="1"/>
  <c r="D11" i="1"/>
  <c r="G61" i="3"/>
  <c r="F64" i="3"/>
  <c r="F61" i="3"/>
  <c r="F55" i="3"/>
  <c r="D27" i="2"/>
  <c r="E27" i="2"/>
  <c r="F27" i="2"/>
  <c r="G27" i="2"/>
  <c r="D26" i="2"/>
  <c r="E26" i="2"/>
  <c r="F26" i="2"/>
  <c r="G26" i="2"/>
  <c r="D24" i="2"/>
  <c r="E24" i="2"/>
  <c r="F24" i="2"/>
  <c r="G24" i="2"/>
  <c r="C24" i="2"/>
  <c r="D22" i="2"/>
  <c r="E22" i="2"/>
  <c r="F22" i="2"/>
  <c r="G22" i="2"/>
  <c r="C22" i="2"/>
  <c r="D21" i="2"/>
  <c r="E21" i="2"/>
  <c r="F21" i="2"/>
  <c r="G21" i="2"/>
  <c r="C21" i="2"/>
  <c r="D20" i="2"/>
  <c r="E20" i="2"/>
  <c r="F20" i="2"/>
  <c r="G20" i="2"/>
  <c r="C20" i="2"/>
  <c r="D19" i="2"/>
  <c r="E19" i="2"/>
  <c r="F19" i="2"/>
  <c r="G19" i="2"/>
  <c r="C19" i="2"/>
  <c r="H19" i="2" s="1"/>
  <c r="I19" i="2" s="1"/>
  <c r="J19" i="2" s="1"/>
  <c r="D17" i="2"/>
  <c r="E17" i="2"/>
  <c r="F17" i="2"/>
  <c r="G17" i="2"/>
  <c r="C17" i="2"/>
  <c r="E16" i="2"/>
  <c r="F16" i="2"/>
  <c r="G16" i="2"/>
  <c r="D15" i="2"/>
  <c r="E15" i="2"/>
  <c r="F15" i="2"/>
  <c r="G15" i="2"/>
  <c r="C15" i="2"/>
  <c r="L23" i="3" l="1"/>
  <c r="L14" i="3"/>
  <c r="J12" i="3"/>
  <c r="K19" i="2"/>
  <c r="L19" i="2" s="1"/>
  <c r="H5" i="3"/>
  <c r="I4" i="3"/>
  <c r="J4" i="3" s="1"/>
  <c r="K4" i="3" s="1"/>
  <c r="L4" i="3" s="1"/>
  <c r="D8" i="2"/>
  <c r="E8" i="2"/>
  <c r="F8" i="2"/>
  <c r="G8" i="2"/>
  <c r="C8" i="2"/>
  <c r="D9" i="2"/>
  <c r="E9" i="2"/>
  <c r="F9" i="2"/>
  <c r="G9" i="2"/>
  <c r="C9" i="2"/>
  <c r="D7" i="2"/>
  <c r="E7" i="2"/>
  <c r="F7" i="2"/>
  <c r="G7" i="2"/>
  <c r="C7" i="2"/>
  <c r="E4" i="2"/>
  <c r="F4" i="2"/>
  <c r="G4" i="2"/>
  <c r="D4" i="2"/>
  <c r="K12" i="3" l="1"/>
  <c r="L12" i="3" s="1"/>
  <c r="D2" i="2"/>
  <c r="E2" i="2" s="1"/>
  <c r="F2" i="2" s="1"/>
  <c r="G2" i="2" s="1"/>
  <c r="H2" i="2" s="1"/>
  <c r="I2" i="2" s="1"/>
  <c r="J2" i="2" s="1"/>
  <c r="K2" i="2" s="1"/>
  <c r="L2" i="2" s="1"/>
  <c r="C117" i="3" l="1"/>
  <c r="C118" i="3" s="1"/>
  <c r="D117" i="3"/>
  <c r="D118" i="3" s="1"/>
  <c r="E117" i="3"/>
  <c r="E118" i="3" s="1"/>
  <c r="F117" i="3"/>
  <c r="F118" i="3" s="1"/>
  <c r="G117" i="3"/>
  <c r="G118" i="3" s="1"/>
  <c r="C111" i="3"/>
  <c r="D111" i="3"/>
  <c r="E111" i="3"/>
  <c r="G111" i="3"/>
  <c r="F111" i="3"/>
  <c r="E98" i="3"/>
  <c r="E102" i="3" s="1"/>
  <c r="D102" i="3"/>
  <c r="F102" i="3"/>
  <c r="G102" i="3"/>
  <c r="C102" i="3"/>
  <c r="C36" i="3"/>
  <c r="D36" i="3"/>
  <c r="C10" i="3"/>
  <c r="D68" i="3" l="1"/>
  <c r="E68" i="3" s="1"/>
  <c r="F68" i="3" s="1"/>
  <c r="G68" i="3" s="1"/>
  <c r="H68" i="3" s="1"/>
  <c r="I68" i="3" s="1"/>
  <c r="J68" i="3" s="1"/>
  <c r="K68" i="3" s="1"/>
  <c r="L68" i="3" s="1"/>
  <c r="C15" i="3"/>
  <c r="G10" i="3"/>
  <c r="F10" i="3"/>
  <c r="E10" i="3"/>
  <c r="D10" i="3"/>
  <c r="G6" i="3"/>
  <c r="G6" i="2" s="1"/>
  <c r="F6" i="3"/>
  <c r="F6" i="2" s="1"/>
  <c r="E6" i="3"/>
  <c r="E6" i="2" s="1"/>
  <c r="D6" i="3"/>
  <c r="D6" i="2" s="1"/>
  <c r="C6" i="3"/>
  <c r="C11" i="3" s="1"/>
  <c r="D3" i="3"/>
  <c r="E3" i="3" s="1"/>
  <c r="F3" i="3" s="1"/>
  <c r="G3" i="3" s="1"/>
  <c r="D28" i="3"/>
  <c r="E28" i="3" s="1"/>
  <c r="F28" i="3" s="1"/>
  <c r="G28" i="3" s="1"/>
  <c r="H28" i="3" s="1"/>
  <c r="I28" i="3" s="1"/>
  <c r="J28" i="3" s="1"/>
  <c r="K28" i="3" s="1"/>
  <c r="L28" i="3" s="1"/>
  <c r="G64" i="3"/>
  <c r="D61" i="3"/>
  <c r="D64" i="3" s="1"/>
  <c r="E61" i="3"/>
  <c r="E64" i="3" s="1"/>
  <c r="C61" i="3"/>
  <c r="C64" i="3" s="1"/>
  <c r="C26" i="2" l="1"/>
  <c r="C27" i="2"/>
  <c r="C6" i="2"/>
  <c r="F11" i="3"/>
  <c r="F25" i="2" s="1"/>
  <c r="D11" i="3"/>
  <c r="D25" i="2" s="1"/>
  <c r="E11" i="3"/>
  <c r="E25" i="2" s="1"/>
  <c r="G11" i="3"/>
  <c r="G25" i="2" s="1"/>
  <c r="C10" i="2" l="1"/>
  <c r="C25" i="2"/>
  <c r="E16" i="3"/>
  <c r="E18" i="3" s="1"/>
  <c r="E20" i="3" s="1"/>
  <c r="E22" i="3" s="1"/>
  <c r="E10" i="2"/>
  <c r="C16" i="3"/>
  <c r="C18" i="3" s="1"/>
  <c r="C20" i="3" s="1"/>
  <c r="C22" i="3" s="1"/>
  <c r="G10" i="2"/>
  <c r="D16" i="3"/>
  <c r="D18" i="3" s="1"/>
  <c r="D20" i="3" s="1"/>
  <c r="D22" i="3" s="1"/>
  <c r="D10" i="2"/>
  <c r="F16" i="3"/>
  <c r="F18" i="3" s="1"/>
  <c r="F20" i="3" s="1"/>
  <c r="F22" i="3" s="1"/>
  <c r="F10" i="2"/>
  <c r="C49" i="3"/>
  <c r="C55" i="3" s="1"/>
  <c r="C65" i="3" s="1"/>
  <c r="C66" i="3" s="1"/>
  <c r="D49" i="3"/>
  <c r="D55" i="3" s="1"/>
  <c r="D65" i="3" s="1"/>
  <c r="D66" i="3" s="1"/>
  <c r="E49" i="3"/>
  <c r="E55" i="3" s="1"/>
  <c r="E65" i="3" s="1"/>
  <c r="E66" i="3" s="1"/>
  <c r="F49" i="3"/>
  <c r="F65" i="3" s="1"/>
  <c r="G49" i="3"/>
  <c r="G55" i="3" s="1"/>
  <c r="G65" i="3" s="1"/>
  <c r="C44" i="3"/>
  <c r="D44" i="3"/>
  <c r="E36" i="3"/>
  <c r="E44" i="3" s="1"/>
  <c r="F36" i="3"/>
  <c r="F44" i="3" s="1"/>
  <c r="G36" i="3"/>
  <c r="G44" i="3" s="1"/>
  <c r="F66" i="3" l="1"/>
  <c r="G66" i="3"/>
  <c r="F69" i="3"/>
  <c r="F91" i="3" s="1"/>
  <c r="F113" i="3" s="1"/>
  <c r="F11" i="2"/>
  <c r="D69" i="3"/>
  <c r="D91" i="3" s="1"/>
  <c r="D113" i="3" s="1"/>
  <c r="D11" i="2"/>
  <c r="G20" i="3"/>
  <c r="G22" i="3" s="1"/>
  <c r="G13" i="2"/>
  <c r="C69" i="3"/>
  <c r="C91" i="3" s="1"/>
  <c r="C113" i="3" s="1"/>
  <c r="C11" i="2"/>
  <c r="E69" i="3"/>
  <c r="E91" i="3" s="1"/>
  <c r="E113" i="3" s="1"/>
  <c r="E11" i="2"/>
  <c r="H3" i="3"/>
  <c r="I3" i="3" s="1"/>
  <c r="J3" i="3" s="1"/>
  <c r="K3" i="3" s="1"/>
  <c r="L3" i="3" s="1"/>
  <c r="G26" i="3" l="1"/>
  <c r="G24" i="3"/>
  <c r="F24" i="3"/>
  <c r="F26" i="3"/>
  <c r="E24" i="3"/>
  <c r="E26" i="3"/>
  <c r="D26" i="3"/>
  <c r="D24" i="3"/>
  <c r="C26" i="3"/>
  <c r="C24" i="3"/>
  <c r="G69" i="3"/>
  <c r="G91" i="3" s="1"/>
  <c r="G113" i="3" s="1"/>
  <c r="G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tc={53BDE9BA-BC29-467F-A58D-997DC0DF17BC}</author>
    <author>tc={DE10578D-F8D8-4700-A6AE-9CFB0AF27C6A}</author>
    <author>tc={F047E701-0819-43B4-9D35-98AC3027CA84}</author>
    <author>tc={A43684A5-0473-4D49-B916-CD2398B4A286}</author>
    <author>tc={3217F457-13BA-4C79-921E-495F64B4F11D}</author>
    <author>tc={4BF16296-24EE-40C5-A640-7FCD0AA2AEBA}</author>
    <author>tc={D9D4F3A8-DE2C-4909-8CD3-41212E09E7D5}</author>
    <author>tc={C2FAF5EE-9EEF-4C04-BFDE-BCC7C52582FF}</author>
    <author>tc={517B6E2B-0000-4D76-8F2A-CA49B02660CF}</author>
    <author>tc={20B02C90-BDDF-424E-A1F5-1FC629D09915}</author>
    <author>tc={D038DA2D-A7FD-4DAB-BF2A-F97A1325D3E0}</author>
    <author>tc={177B483F-2254-474A-9617-9D9A95FCBED3}</author>
    <author>tc={06618A8A-1D51-4D5A-A8CF-3FCCF5252DED}</author>
    <author>tc={264D9DBF-A719-4F40-AFAC-511145A55FB0}</author>
    <author>tc={F7BF6A3A-2BFC-45FF-9DDD-0CECC135F25C}</author>
    <author>tc={5949D388-8BA0-4208-81A3-9926E0CA90EF}</author>
    <author>tc={D833E62A-57C3-4EA5-8053-88C18EC133BD}</author>
    <author>tc={D81540FC-4220-4D96-8B14-1C818D1650C1}</author>
    <author>tc={AB53B1AE-2566-4018-9809-B9594282EE5A}</author>
    <author>tc={51673AE6-06E8-48FA-B31E-08414EFC6EAE}</author>
    <author>tc={6F5D0B59-13E6-4EEE-A4A3-3D6301B89E8B}</author>
    <author>tc={D2FC311B-D62D-4859-9248-86B0419EBBAD}</author>
    <author>tc={684166F9-089A-4512-A4B3-595A1912C558}</author>
  </authors>
  <commentList>
    <comment ref="B4" authorId="0" shapeId="0" xr:uid="{53BDE9BA-BC29-467F-A58D-997DC0DF17BC}">
      <text>
        <t>[Threaded comment]
Your version of Excel allows you to read this threaded comment; however, any edits to it will get removed if the file is opened in a newer version of Excel. Learn more: https://go.microsoft.com/fwlink/?linkid=870924
Comment:
    = (Current Revenue / Prior Revenue) - 1</t>
      </text>
    </comment>
    <comment ref="H4" authorId="1" shapeId="0" xr:uid="{DE10578D-F8D8-4700-A6AE-9CFB0AF27C6A}">
      <text>
        <t>[Threaded comment]
Your version of Excel allows you to read this threaded comment; however, any edits to it will get removed if the file is opened in a newer version of Excel. Learn more: https://go.microsoft.com/fwlink/?linkid=870924
Comment:
    CAGR</t>
      </text>
    </comment>
    <comment ref="B6" authorId="2" shapeId="0" xr:uid="{F047E701-0819-43B4-9D35-98AC3027CA84}">
      <text>
        <t>[Threaded comment]
Your version of Excel allows you to read this threaded comment; however, any edits to it will get removed if the file is opened in a newer version of Excel. Learn more: https://go.microsoft.com/fwlink/?linkid=870924
Comment:
    = Gross Profit / Revenue</t>
      </text>
    </comment>
    <comment ref="B7" authorId="3" shapeId="0" xr:uid="{A43684A5-0473-4D49-B916-CD2398B4A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COGS / Revenue </t>
      </text>
    </comment>
    <comment ref="B8" authorId="4" shapeId="0" xr:uid="{3217F457-13BA-4C79-921E-495F64B4F1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SG&amp;A / Revenue </t>
      </text>
    </comment>
    <comment ref="B9" authorId="5" shapeId="0" xr:uid="{4BF16296-24EE-40C5-A640-7FCD0AA2AE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R&amp;D / Revenue </t>
      </text>
    </comment>
    <comment ref="B10" authorId="6" shapeId="0" xr:uid="{D9D4F3A8-DE2C-4909-8CD3-41212E09E7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EBIT / Revenue </t>
      </text>
    </comment>
    <comment ref="B11" authorId="7" shapeId="0" xr:uid="{C2FAF5EE-9EEF-4C04-BFDE-BCC7C5258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Net Income / Revenue </t>
      </text>
    </comment>
    <comment ref="B13" authorId="8" shapeId="0" xr:uid="{517B6E2B-0000-4D76-8F2A-CA49B02660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 Taxes / EBT — nm (not meaningful) in loss years. Use statutory rate of 21% as forecast assumption 
= Taxes / EBT </t>
      </text>
    </comment>
    <comment ref="B15" authorId="9" shapeId="0" xr:uid="{20B02C90-BDDF-424E-A1F5-1FC629D099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Capex / Revenue </t>
      </text>
    </comment>
    <comment ref="B16" authorId="10" shapeId="0" xr:uid="{D038DA2D-A7FD-4DAB-BF2A-F97A1325D3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Capex / PP&amp;E </t>
      </text>
    </comment>
    <comment ref="B17" authorId="11" shapeId="0" xr:uid="{177B483F-2254-474A-9617-9D9A95FCBE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D&amp;A / Revenue </t>
      </text>
    </comment>
    <comment ref="B19" authorId="12" shapeId="0" xr:uid="{06618A8A-1D51-4D5A-A8CF-3FCCF5252D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Accounts Receivable / Revenue × 365 </t>
      </text>
    </comment>
    <comment ref="H19" authorId="13" shapeId="0" xr:uid="{264D9DBF-A719-4F40-AFAC-511145A55FB0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5 Year Average</t>
      </text>
    </comment>
    <comment ref="B20" authorId="14" shapeId="0" xr:uid="{F7BF6A3A-2BFC-45FF-9DDD-0CECC135F2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Inventory / COGS × 365 </t>
      </text>
    </comment>
    <comment ref="H20" authorId="15" shapeId="0" xr:uid="{5949D388-8BA0-4208-81A3-9926E0CA90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3 Year Average
</t>
      </text>
    </comment>
    <comment ref="B21" authorId="16" shapeId="0" xr:uid="{D833E62A-57C3-4EA5-8053-88C18EC133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Accounts Payable / COGS × 365 </t>
      </text>
    </comment>
    <comment ref="H21" authorId="17" shapeId="0" xr:uid="{D81540FC-4220-4D96-8B14-1C818D1650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5 Year Average
</t>
      </text>
    </comment>
    <comment ref="B22" authorId="18" shapeId="0" xr:uid="{AB53B1AE-2566-4018-9809-B9594282EE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Advances &amp; Progress Billings / Revenue </t>
      </text>
    </comment>
    <comment ref="B24" authorId="19" shapeId="0" xr:uid="{51673AE6-06E8-48FA-B31E-08414EFC6E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Net Debt = Short-term Debt + Long-term Debt − Cash − Short-term Investments
</t>
      </text>
    </comment>
    <comment ref="B25" authorId="20" shapeId="0" xr:uid="{6F5D0B59-13E6-4EEE-A4A3-3D6301B89E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nm = not meaningful in loss years where EBITA is negative </t>
      </text>
    </comment>
    <comment ref="B26" authorId="21" shapeId="0" xr:uid="{D2FC311B-D62D-4859-9248-86B0419EBB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nm = not meaningful in loss years where EBITA is negative 
</t>
      </text>
    </comment>
    <comment ref="B27" authorId="22" shapeId="0" xr:uid="{684166F9-089A-4512-A4B3-595A1912C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Interest Expense / Total Debt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tc={E020734A-44B8-41B1-9F60-59BA644A2BE0}</author>
    <author>tc={BF7762D6-2D19-4E5A-A42F-48F1758CDBF9}</author>
    <author>tc={BD0AADAC-A367-4E56-B134-8D85E5D1F39A}</author>
    <author>tc={8408FF94-C482-4CF7-B3B6-E64B1A7C83FA}</author>
    <author>tc={D28620DE-7806-4031-A94C-5A70B9745900}</author>
    <author>tc={DF0D4C79-7457-440F-B77D-C897944542A1}</author>
    <author>tc={3406BCD8-C23B-47A2-8911-97DD0FF0B2D2}</author>
  </authors>
  <commentList>
    <comment ref="H12" authorId="0" shapeId="0" xr:uid="{E020734A-44B8-41B1-9F60-59BA644A2BE0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3 Year Average</t>
      </text>
    </comment>
    <comment ref="H21" authorId="1" shapeId="0" xr:uid="{BF7762D6-2D19-4E5A-A42F-48F1758CDB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>
      </text>
    </comment>
    <comment ref="I21" authorId="2" shapeId="0" xr:uid="{BD0AADAC-A367-4E56-B134-8D85E5D1F3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>
      </text>
    </comment>
    <comment ref="B23" authorId="3" shapeId="0" xr:uid="{8408FF94-C482-4CF7-B3B6-E64B1A7C83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Disclosed as basic weighted average common shares outstanding in the EPS footnote of the 10-K </t>
      </text>
    </comment>
    <comment ref="B25" authorId="4" shapeId="0" xr:uid="{D28620DE-7806-4031-A94C-5A70B97459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Disclosed as diluted weighted average common shares outstanding in the EPS footnote of the 10-K 
</t>
      </text>
    </comment>
    <comment ref="B76" authorId="5" shapeId="0" xr:uid="{DF0D4C79-7457-440F-B77D-C8979445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777X and 787 Reach Forward Losses in 2021</t>
      </text>
    </comment>
    <comment ref="B92" authorId="6" shapeId="0" xr:uid="{3406BCD8-C23B-47A2-8911-97DD0FF0B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Payments to Acquire Property, Plant and Equipment</t>
      </text>
    </comment>
  </commentList>
</comments>
</file>

<file path=xl/sharedStrings.xml><?xml version="1.0" encoding="utf-8"?>
<sst xmlns="http://schemas.openxmlformats.org/spreadsheetml/2006/main" count="145" uniqueCount="135">
  <si>
    <t>Income Statement</t>
  </si>
  <si>
    <t>Revenue</t>
  </si>
  <si>
    <t>Cost of Goods Sold (COGS)</t>
  </si>
  <si>
    <t>Gross Profit</t>
  </si>
  <si>
    <t>Expenses</t>
  </si>
  <si>
    <t>Taxes</t>
  </si>
  <si>
    <t>Research and Development</t>
  </si>
  <si>
    <t>SG&amp;A Expenses</t>
  </si>
  <si>
    <t>Operating Expenses</t>
  </si>
  <si>
    <t>Operating Income (EBIT)</t>
  </si>
  <si>
    <t>Interest Expense</t>
  </si>
  <si>
    <t>Earnings Before Tax (EBT)</t>
  </si>
  <si>
    <t>Other Income</t>
  </si>
  <si>
    <t>Balance Statement</t>
  </si>
  <si>
    <t>Cash</t>
  </si>
  <si>
    <t>Inventory</t>
  </si>
  <si>
    <t>PP&amp;E</t>
  </si>
  <si>
    <t>Accounts Payable</t>
  </si>
  <si>
    <t>Short-term Investments</t>
  </si>
  <si>
    <t>Total Current Assets</t>
  </si>
  <si>
    <t>Other Current Assets</t>
  </si>
  <si>
    <t>Total Assets</t>
  </si>
  <si>
    <t>Long-term Debt</t>
  </si>
  <si>
    <t>Total Liabilities</t>
  </si>
  <si>
    <t>Total Current Liabilities</t>
  </si>
  <si>
    <t>Additional Paid-in Capital</t>
  </si>
  <si>
    <t>Treasury Stock</t>
  </si>
  <si>
    <t>Retained Earnings</t>
  </si>
  <si>
    <t>Total Equity</t>
  </si>
  <si>
    <t>Unbilled Receivables</t>
  </si>
  <si>
    <t>Goodwill</t>
  </si>
  <si>
    <t>Acquired Intangibles Assets, Net</t>
  </si>
  <si>
    <t>Deferred Income Taxes</t>
  </si>
  <si>
    <t>Investments</t>
  </si>
  <si>
    <t>Current Portion of Financing Receivables</t>
  </si>
  <si>
    <t>Accrued Liabilities</t>
  </si>
  <si>
    <t>Advances and Progress Billings</t>
  </si>
  <si>
    <t>Short-term debt and current portion of long-term debt</t>
  </si>
  <si>
    <t>Accrued Retiree Health Care</t>
  </si>
  <si>
    <t>Accrued Pension Plan Liabilities</t>
  </si>
  <si>
    <t>Other Long-Term Liabilities</t>
  </si>
  <si>
    <t>Common Stock</t>
  </si>
  <si>
    <t>Accumulated Other Comprehensive Loss</t>
  </si>
  <si>
    <t>Total Shareholder Equity</t>
  </si>
  <si>
    <t>Non-controlling Interests</t>
  </si>
  <si>
    <t>Total Liabilities and Equity</t>
  </si>
  <si>
    <t>Mandatory Convertible Preferred Stock</t>
  </si>
  <si>
    <t>Gains on Dispositions, Net</t>
  </si>
  <si>
    <t>Income from Operating Investments, Net</t>
  </si>
  <si>
    <t>Cash Flow Statement</t>
  </si>
  <si>
    <t>Net Income</t>
  </si>
  <si>
    <t>Net Earnings (Net Income)</t>
  </si>
  <si>
    <t>Changes in Assets and Liabilities</t>
  </si>
  <si>
    <t>Accounts Receivables</t>
  </si>
  <si>
    <t>Advances &amp; Progress Billings</t>
  </si>
  <si>
    <t>Change in Inventory</t>
  </si>
  <si>
    <t>Cash Flow from Operating Activities</t>
  </si>
  <si>
    <t>Capital Expenditure</t>
  </si>
  <si>
    <t>Cash Flow from Investing Activities</t>
  </si>
  <si>
    <t>Cash Flow from Financing Activities</t>
  </si>
  <si>
    <t>Net Change in Cash</t>
  </si>
  <si>
    <t>Shared-Based Plans Expense</t>
  </si>
  <si>
    <t>Treasury Shares Issued for 401(K) Contribution</t>
  </si>
  <si>
    <t>777X and 767 Reach-Forward Losses</t>
  </si>
  <si>
    <t>Other Non-Cash Items, Net</t>
  </si>
  <si>
    <t>Income Taxes Receivables, Payable and Deferred</t>
  </si>
  <si>
    <t>Pension and Other Postretirement Plans</t>
  </si>
  <si>
    <t xml:space="preserve">Other </t>
  </si>
  <si>
    <t>Proceeds from disposals of PP&amp;E</t>
  </si>
  <si>
    <t>Contributions to Investments</t>
  </si>
  <si>
    <t>Proceeds from Dispositions</t>
  </si>
  <si>
    <t>Acquisitions, Net of Cash Acquired</t>
  </si>
  <si>
    <t>Proceeds from Investments</t>
  </si>
  <si>
    <t>Supplier Notes Receivable</t>
  </si>
  <si>
    <t>Repayments on Supplier Notes Receivable</t>
  </si>
  <si>
    <t>Purchase of Distribution Rights</t>
  </si>
  <si>
    <t>Other</t>
  </si>
  <si>
    <t>New Borrowings</t>
  </si>
  <si>
    <t>Debt Repayments</t>
  </si>
  <si>
    <t>Mandatory Convertible Preferred Stock Issuance</t>
  </si>
  <si>
    <t>Stock Options Exercised</t>
  </si>
  <si>
    <t>Employee Taxes on Share-Based Payment</t>
  </si>
  <si>
    <t>Dividends Paid on Mandatory Convertible Preferred Stock</t>
  </si>
  <si>
    <t>Impairment/Asset Impairment Charges, Net</t>
  </si>
  <si>
    <t>Customer Financing Valuation Adjustments</t>
  </si>
  <si>
    <t>Common Stock Issuance, Net Issuance Costs</t>
  </si>
  <si>
    <t>Effect of Exchange Rate Changes on Cash/Cash Equivalents</t>
  </si>
  <si>
    <t>Closing Cash (incl. restricted)</t>
  </si>
  <si>
    <t>Opening Cash (incl. restricted)</t>
  </si>
  <si>
    <t>Less Restricted Cash</t>
  </si>
  <si>
    <t>Cash &amp; Equivalents (End of Year)</t>
  </si>
  <si>
    <t>Assumptions</t>
  </si>
  <si>
    <t>Revenue and Growth</t>
  </si>
  <si>
    <t>Revenue Growth Rate (%)</t>
  </si>
  <si>
    <t>Profitability</t>
  </si>
  <si>
    <t>Gross Margin %</t>
  </si>
  <si>
    <t>COGS % of Revenue</t>
  </si>
  <si>
    <t>R&amp;D % of Revenue</t>
  </si>
  <si>
    <t>SG&amp;A % of Revenue</t>
  </si>
  <si>
    <t>EBIT Margin %</t>
  </si>
  <si>
    <t>Net Income Margin %</t>
  </si>
  <si>
    <t>Tax</t>
  </si>
  <si>
    <t>Effective Tax Rate</t>
  </si>
  <si>
    <t>Capex % of Revenue</t>
  </si>
  <si>
    <t>Capex % of PP&amp;E</t>
  </si>
  <si>
    <t>D&amp;A % of Revenue</t>
  </si>
  <si>
    <t>Working Capital</t>
  </si>
  <si>
    <t>DSO (Days)</t>
  </si>
  <si>
    <t>DIO (Days</t>
  </si>
  <si>
    <t>DPO (Days)</t>
  </si>
  <si>
    <t>Leverage &amp; Returns</t>
  </si>
  <si>
    <t>Net Debt ($M)</t>
  </si>
  <si>
    <t>Net Debt / EBITDA</t>
  </si>
  <si>
    <t>Interest Coverage (x)</t>
  </si>
  <si>
    <t>Interest % of Debt</t>
  </si>
  <si>
    <t>Basic EPS</t>
  </si>
  <si>
    <t>Capex (Capital Expenditure)</t>
  </si>
  <si>
    <t>Cash and Equivalent matching with Cash (Balance Sheet) Check</t>
  </si>
  <si>
    <t>Total Asset matching Total Liabilities and Equity Check</t>
  </si>
  <si>
    <t>Basic Shares Outstanding (Millions)</t>
  </si>
  <si>
    <t>Diluted Shares Outstanding (Millions</t>
  </si>
  <si>
    <t>Less: Noncontrolling Interests</t>
  </si>
  <si>
    <t>Net Earnings to Boeing Shareholders</t>
  </si>
  <si>
    <t>Less: Mandatory Convertible Preferred Dividends</t>
  </si>
  <si>
    <t>Net Earnings to Common Shareholders</t>
  </si>
  <si>
    <t>Diluted Basic EPS</t>
  </si>
  <si>
    <t>Advances &amp; Billings % of Revenue</t>
  </si>
  <si>
    <t>Depreciation &amp; Amortization (D&amp;A)</t>
  </si>
  <si>
    <t>Financing Receivables and Operating Leases Equipment, Net</t>
  </si>
  <si>
    <t>Financing Receivables and Operating Lease Equipment, Net</t>
  </si>
  <si>
    <t>The Boeing Company</t>
  </si>
  <si>
    <t xml:space="preserve">   Three Statement Financial Model &amp; DCF Valuation</t>
  </si>
  <si>
    <t>Prepared by</t>
  </si>
  <si>
    <t>Tim Nguyen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</si>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</sst>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(#,##0\)_-;_-* &quot;-&quot;_-;_-@_-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b/>
      <sz val="10"/>
      <color rgb="FF0000FF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u val="singleAccounting"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33A0"/>
      <name val="Aptos Narrow"/>
      <family val="2"/>
      <scheme val="minor"/>
    </font>
    <font>
      <sz val="28"/>
      <color theme="0"/>
      <name val="Open Sans"/>
      <family val="2"/>
    </font>
    <font>
      <sz val="11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0033A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37" fontId="2" fillId="2" borderId="0" xfId="0" applyNumberFormat="1" applyFont="1" applyFill="1" applyAlignment="1">
      <alignment vertical="center"/>
    </xf>
    <xf numFmtId="0" fontId="2" fillId="2" borderId="0" xfId="1" applyNumberFormat="1" applyFont="1" applyFill="1" applyAlignment="1"/>
    <xf numFmtId="164" fontId="3" fillId="0" borderId="0" xfId="1" applyNumberFormat="1" applyFont="1"/>
    <xf numFmtId="164" fontId="5" fillId="0" borderId="0" xfId="1" applyNumberFormat="1" applyFont="1" applyBorder="1"/>
    <xf numFmtId="164" fontId="6" fillId="0" borderId="0" xfId="1" applyNumberFormat="1" applyFont="1" applyBorder="1"/>
    <xf numFmtId="164" fontId="3" fillId="0" borderId="1" xfId="1" applyNumberFormat="1" applyFont="1" applyBorder="1"/>
    <xf numFmtId="164" fontId="7" fillId="0" borderId="1" xfId="1" applyNumberFormat="1" applyFont="1" applyBorder="1"/>
    <xf numFmtId="164" fontId="3" fillId="0" borderId="0" xfId="1" applyNumberFormat="1" applyFont="1" applyBorder="1"/>
    <xf numFmtId="164" fontId="4" fillId="0" borderId="0" xfId="1" applyNumberFormat="1" applyFont="1" applyBorder="1"/>
    <xf numFmtId="164" fontId="5" fillId="0" borderId="0" xfId="1" applyNumberFormat="1" applyFont="1"/>
    <xf numFmtId="164" fontId="6" fillId="0" borderId="0" xfId="1" applyNumberFormat="1" applyFont="1"/>
    <xf numFmtId="164" fontId="3" fillId="0" borderId="3" xfId="1" applyNumberFormat="1" applyFont="1" applyBorder="1"/>
    <xf numFmtId="164" fontId="7" fillId="0" borderId="3" xfId="1" applyNumberFormat="1" applyFont="1" applyBorder="1"/>
    <xf numFmtId="164" fontId="5" fillId="0" borderId="0" xfId="1" applyNumberFormat="1" applyFont="1" applyBorder="1" applyAlignment="1">
      <alignment horizontal="left"/>
    </xf>
    <xf numFmtId="164" fontId="3" fillId="0" borderId="2" xfId="1" applyNumberFormat="1" applyFont="1" applyBorder="1"/>
    <xf numFmtId="164" fontId="5" fillId="0" borderId="0" xfId="1" applyNumberFormat="1" applyFont="1" applyFill="1" applyBorder="1" applyAlignment="1">
      <alignment horizontal="left"/>
    </xf>
    <xf numFmtId="164" fontId="7" fillId="0" borderId="2" xfId="1" applyNumberFormat="1" applyFont="1" applyBorder="1"/>
    <xf numFmtId="164" fontId="6" fillId="0" borderId="0" xfId="1" applyNumberFormat="1" applyFont="1" applyFill="1" applyBorder="1"/>
    <xf numFmtId="0" fontId="0" fillId="0" borderId="4" xfId="0" applyBorder="1"/>
    <xf numFmtId="164" fontId="6" fillId="0" borderId="4" xfId="1" applyNumberFormat="1" applyFont="1" applyBorder="1"/>
    <xf numFmtId="164" fontId="7" fillId="0" borderId="5" xfId="1" applyNumberFormat="1" applyFont="1" applyBorder="1"/>
    <xf numFmtId="0" fontId="0" fillId="0" borderId="7" xfId="0" applyBorder="1"/>
    <xf numFmtId="0" fontId="0" fillId="0" borderId="3" xfId="0" applyBorder="1"/>
    <xf numFmtId="164" fontId="4" fillId="0" borderId="2" xfId="1" applyNumberFormat="1" applyFont="1" applyBorder="1"/>
    <xf numFmtId="164" fontId="4" fillId="0" borderId="8" xfId="1" applyNumberFormat="1" applyFont="1" applyBorder="1"/>
    <xf numFmtId="164" fontId="3" fillId="0" borderId="10" xfId="1" applyNumberFormat="1" applyFont="1" applyBorder="1"/>
    <xf numFmtId="164" fontId="7" fillId="0" borderId="10" xfId="1" applyNumberFormat="1" applyFont="1" applyBorder="1"/>
    <xf numFmtId="164" fontId="7" fillId="0" borderId="9" xfId="1" applyNumberFormat="1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164" fontId="3" fillId="0" borderId="3" xfId="1" applyNumberFormat="1" applyFont="1" applyFill="1" applyBorder="1" applyAlignment="1">
      <alignment horizontal="left"/>
    </xf>
    <xf numFmtId="164" fontId="7" fillId="0" borderId="13" xfId="1" applyNumberFormat="1" applyFont="1" applyBorder="1"/>
    <xf numFmtId="164" fontId="3" fillId="0" borderId="10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164" fontId="6" fillId="0" borderId="14" xfId="1" applyNumberFormat="1" applyFont="1" applyFill="1" applyBorder="1"/>
    <xf numFmtId="164" fontId="6" fillId="0" borderId="13" xfId="1" applyNumberFormat="1" applyFont="1" applyFill="1" applyBorder="1"/>
    <xf numFmtId="164" fontId="6" fillId="0" borderId="8" xfId="1" applyNumberFormat="1" applyFont="1" applyFill="1" applyBorder="1"/>
    <xf numFmtId="164" fontId="3" fillId="0" borderId="10" xfId="1" applyNumberFormat="1" applyFont="1" applyFill="1" applyBorder="1" applyAlignment="1">
      <alignment horizontal="left"/>
    </xf>
    <xf numFmtId="164" fontId="6" fillId="0" borderId="3" xfId="1" applyNumberFormat="1" applyFont="1" applyFill="1" applyBorder="1"/>
    <xf numFmtId="164" fontId="6" fillId="0" borderId="5" xfId="1" applyNumberFormat="1" applyFont="1" applyFill="1" applyBorder="1"/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0" fontId="2" fillId="2" borderId="0" xfId="1" applyNumberFormat="1" applyFont="1" applyFill="1" applyBorder="1" applyAlignment="1"/>
    <xf numFmtId="164" fontId="5" fillId="0" borderId="0" xfId="1" applyNumberFormat="1" applyFont="1" applyFill="1" applyBorder="1"/>
    <xf numFmtId="0" fontId="2" fillId="2" borderId="14" xfId="1" applyNumberFormat="1" applyFont="1" applyFill="1" applyBorder="1" applyAlignment="1"/>
    <xf numFmtId="164" fontId="7" fillId="0" borderId="8" xfId="1" applyNumberFormat="1" applyFont="1" applyBorder="1"/>
    <xf numFmtId="164" fontId="8" fillId="0" borderId="0" xfId="1" applyNumberFormat="1" applyFont="1" applyBorder="1"/>
    <xf numFmtId="10" fontId="8" fillId="0" borderId="0" xfId="1" applyNumberFormat="1" applyFont="1" applyBorder="1"/>
    <xf numFmtId="0" fontId="8" fillId="0" borderId="2" xfId="1" applyNumberFormat="1" applyFont="1" applyBorder="1"/>
    <xf numFmtId="0" fontId="9" fillId="0" borderId="2" xfId="0" applyFont="1" applyBorder="1"/>
    <xf numFmtId="164" fontId="8" fillId="0" borderId="1" xfId="1" applyNumberFormat="1" applyFont="1" applyBorder="1"/>
    <xf numFmtId="164" fontId="8" fillId="0" borderId="0" xfId="1" applyNumberFormat="1" applyFont="1" applyBorder="1" applyAlignment="1">
      <alignment horizontal="right"/>
    </xf>
    <xf numFmtId="165" fontId="6" fillId="0" borderId="0" xfId="1" applyNumberFormat="1" applyFont="1" applyBorder="1"/>
    <xf numFmtId="164" fontId="6" fillId="0" borderId="14" xfId="1" applyNumberFormat="1" applyFont="1" applyBorder="1"/>
    <xf numFmtId="2" fontId="7" fillId="0" borderId="1" xfId="1" applyNumberFormat="1" applyFont="1" applyBorder="1"/>
    <xf numFmtId="2" fontId="7" fillId="0" borderId="10" xfId="1" applyNumberFormat="1" applyFont="1" applyBorder="1"/>
    <xf numFmtId="164" fontId="5" fillId="0" borderId="2" xfId="1" applyNumberFormat="1" applyFont="1" applyFill="1" applyBorder="1"/>
    <xf numFmtId="10" fontId="8" fillId="0" borderId="2" xfId="1" applyNumberFormat="1" applyFont="1" applyBorder="1"/>
    <xf numFmtId="0" fontId="11" fillId="3" borderId="0" xfId="0" applyFont="1" applyFill="1"/>
    <xf numFmtId="0" fontId="10" fillId="3" borderId="0" xfId="0" applyFont="1" applyFill="1"/>
    <xf numFmtId="0" fontId="0" fillId="3" borderId="0" xfId="0" applyFill="1"/>
    <xf numFmtId="10" fontId="8" fillId="0" borderId="4" xfId="1" applyNumberFormat="1" applyFont="1" applyBorder="1"/>
    <xf numFmtId="10" fontId="8" fillId="0" borderId="1" xfId="1" applyNumberFormat="1" applyFont="1" applyBorder="1"/>
    <xf numFmtId="10" fontId="8" fillId="0" borderId="11" xfId="1" applyNumberFormat="1" applyFont="1" applyBorder="1"/>
    <xf numFmtId="2" fontId="8" fillId="0" borderId="0" xfId="1" applyNumberFormat="1" applyFont="1" applyBorder="1"/>
    <xf numFmtId="2" fontId="8" fillId="0" borderId="1" xfId="1" applyNumberFormat="1" applyFont="1" applyBorder="1"/>
    <xf numFmtId="2" fontId="8" fillId="0" borderId="4" xfId="1" applyNumberFormat="1" applyFont="1" applyBorder="1"/>
    <xf numFmtId="2" fontId="8" fillId="0" borderId="11" xfId="1" applyNumberFormat="1" applyFont="1" applyBorder="1"/>
    <xf numFmtId="10" fontId="8" fillId="0" borderId="6" xfId="1" applyNumberFormat="1" applyFont="1" applyBorder="1"/>
    <xf numFmtId="164" fontId="8" fillId="0" borderId="4" xfId="1" applyNumberFormat="1" applyFont="1" applyBorder="1"/>
    <xf numFmtId="164" fontId="8" fillId="0" borderId="11" xfId="1" applyNumberFormat="1" applyFont="1" applyBorder="1"/>
    <xf numFmtId="164" fontId="6" fillId="0" borderId="8" xfId="1" applyNumberFormat="1" applyFont="1" applyBorder="1"/>
    <xf numFmtId="164" fontId="7" fillId="0" borderId="11" xfId="1" applyNumberFormat="1" applyFont="1" applyBorder="1"/>
    <xf numFmtId="164" fontId="8" fillId="0" borderId="6" xfId="1" applyNumberFormat="1" applyFont="1" applyBorder="1"/>
    <xf numFmtId="0" fontId="14" fillId="0" borderId="2" xfId="0" applyFont="1" applyBorder="1"/>
    <xf numFmtId="164" fontId="5" fillId="0" borderId="4" xfId="0" applyNumberFormat="1" applyFont="1" applyBorder="1"/>
    <xf numFmtId="164" fontId="5" fillId="0" borderId="0" xfId="0" applyNumberFormat="1" applyFont="1"/>
    <xf numFmtId="164" fontId="5" fillId="0" borderId="11" xfId="0" applyNumberFormat="1" applyFont="1" applyBorder="1"/>
    <xf numFmtId="164" fontId="5" fillId="0" borderId="1" xfId="0" applyNumberFormat="1" applyFont="1" applyBorder="1"/>
    <xf numFmtId="164" fontId="7" fillId="0" borderId="0" xfId="1" applyNumberFormat="1" applyFont="1" applyBorder="1"/>
    <xf numFmtId="164" fontId="7" fillId="0" borderId="6" xfId="1" applyNumberFormat="1" applyFont="1" applyBorder="1"/>
    <xf numFmtId="2" fontId="7" fillId="0" borderId="11" xfId="1" applyNumberFormat="1" applyFont="1" applyBorder="1"/>
    <xf numFmtId="2" fontId="7" fillId="0" borderId="12" xfId="1" applyNumberFormat="1" applyFont="1" applyBorder="1"/>
    <xf numFmtId="164" fontId="7" fillId="0" borderId="7" xfId="1" applyNumberFormat="1" applyFont="1" applyBorder="1"/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3" fillId="3" borderId="0" xfId="0" applyFont="1" applyFill="1" applyAlignment="1">
      <alignment horizontal="left"/>
    </xf>
    <xf numFmtId="0" fontId="1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33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171450</xdr:rowOff>
    </xdr:from>
    <xdr:to>
      <xdr:col>3</xdr:col>
      <xdr:colOff>25529</xdr:colOff>
      <xdr:row>3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C97D19-8011-EFC6-F84A-E7FC8ADF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171450"/>
          <a:ext cx="1711455" cy="428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 Nguyen" id="{C44259D0-522D-4E8B-A167-570A2D87A088}" userId="S::tim.nguyen@simonds.com.au::72366ed0-dba2-4203-90d1-91f42db14a1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4-20T06:11:55.54" personId="{C44259D0-522D-4E8B-A167-570A2D87A088}" id="{53BDE9BA-BC29-467F-A58D-997DC0DF17BC}">
    <text>= (Current Revenue / Prior Revenue) - 1</text>
  </threadedComment>
  <threadedComment ref="H4" dT="2026-04-21T13:27:45.87" personId="{C44259D0-522D-4E8B-A167-570A2D87A088}" id="{DE10578D-F8D8-4700-A6AE-9CFB0AF27C6A}">
    <text>CAGR</text>
  </threadedComment>
  <threadedComment ref="B6" dT="2026-04-20T06:11:30.21" personId="{C44259D0-522D-4E8B-A167-570A2D87A088}" id="{F047E701-0819-43B4-9D35-98AC3027CA84}">
    <text>= Gross Profit / Revenue</text>
  </threadedComment>
  <threadedComment ref="B7" dT="2026-04-20T12:25:56.54" personId="{C44259D0-522D-4E8B-A167-570A2D87A088}" id="{A43684A5-0473-4D49-B916-CD2398B4A286}">
    <text xml:space="preserve">= COGS / Revenue </text>
  </threadedComment>
  <threadedComment ref="B8" dT="2026-04-20T12:26:12.59" personId="{C44259D0-522D-4E8B-A167-570A2D87A088}" id="{3217F457-13BA-4C79-921E-495F64B4F11D}">
    <text xml:space="preserve">= SG&amp;A / Revenue </text>
  </threadedComment>
  <threadedComment ref="B9" dT="2026-04-20T12:26:33.59" personId="{C44259D0-522D-4E8B-A167-570A2D87A088}" id="{4BF16296-24EE-40C5-A640-7FCD0AA2AEBA}">
    <text xml:space="preserve">= R&amp;D / Revenue </text>
  </threadedComment>
  <threadedComment ref="B10" dT="2026-04-20T12:26:39.65" personId="{C44259D0-522D-4E8B-A167-570A2D87A088}" id="{D9D4F3A8-DE2C-4909-8CD3-41212E09E7D5}">
    <text xml:space="preserve">= EBIT / Revenue </text>
  </threadedComment>
  <threadedComment ref="B11" dT="2026-04-20T12:26:48.35" personId="{C44259D0-522D-4E8B-A167-570A2D87A088}" id="{C2FAF5EE-9EEF-4C04-BFDE-BCC7C52582FF}">
    <text xml:space="preserve">= Net Income / Revenue </text>
  </threadedComment>
  <threadedComment ref="B13" dT="2026-04-20T06:54:21.17" personId="{C44259D0-522D-4E8B-A167-570A2D87A088}" id="{517B6E2B-0000-4D76-8F2A-CA49B02660CF}">
    <text xml:space="preserve"> Taxes / EBT — nm (not meaningful) in loss years. Use statutory rate of 21% as forecast assumption 
= Taxes / EBT </text>
  </threadedComment>
  <threadedComment ref="B15" dT="2026-04-20T12:27:04.55" personId="{C44259D0-522D-4E8B-A167-570A2D87A088}" id="{20B02C90-BDDF-424E-A1F5-1FC629D09915}">
    <text xml:space="preserve">= Capex / Revenue </text>
  </threadedComment>
  <threadedComment ref="B16" dT="2026-04-20T12:27:28.59" personId="{C44259D0-522D-4E8B-A167-570A2D87A088}" id="{D038DA2D-A7FD-4DAB-BF2A-F97A1325D3E0}">
    <text xml:space="preserve">= Capex / PP&amp;E </text>
  </threadedComment>
  <threadedComment ref="B17" dT="2026-04-20T12:27:32.69" personId="{C44259D0-522D-4E8B-A167-570A2D87A088}" id="{177B483F-2254-474A-9617-9D9A95FCBED3}">
    <text xml:space="preserve">= D&amp;A / Revenue </text>
  </threadedComment>
  <threadedComment ref="B19" dT="2026-04-20T12:27:37.61" personId="{C44259D0-522D-4E8B-A167-570A2D87A088}" id="{06618A8A-1D51-4D5A-A8CF-3FCCF5252DED}">
    <text xml:space="preserve">= Accounts Receivable / Revenue × 365 </text>
  </threadedComment>
  <threadedComment ref="H19" dT="2026-04-21T13:41:03.84" personId="{C44259D0-522D-4E8B-A167-570A2D87A088}" id="{264D9DBF-A719-4F40-AFAC-511145A55FB0}">
    <text>Using 5 Year Average</text>
  </threadedComment>
  <threadedComment ref="B20" dT="2026-04-20T12:27:42.01" personId="{C44259D0-522D-4E8B-A167-570A2D87A088}" id="{F7BF6A3A-2BFC-45FF-9DDD-0CECC135F25C}">
    <text xml:space="preserve">= Inventory / COGS × 365 </text>
  </threadedComment>
  <threadedComment ref="H20" dT="2026-04-21T13:41:10.84" personId="{C44259D0-522D-4E8B-A167-570A2D87A088}" id="{5949D388-8BA0-4208-81A3-9926E0CA90EF}">
    <text xml:space="preserve">Using 3 Year Average
</text>
  </threadedComment>
  <threadedComment ref="B21" dT="2026-04-20T12:27:49.83" personId="{C44259D0-522D-4E8B-A167-570A2D87A088}" id="{D833E62A-57C3-4EA5-8053-88C18EC133BD}">
    <text xml:space="preserve">= Accounts Payable / COGS × 365 </text>
  </threadedComment>
  <threadedComment ref="H21" dT="2026-04-21T13:41:14.10" personId="{C44259D0-522D-4E8B-A167-570A2D87A088}" id="{D81540FC-4220-4D96-8B14-1C818D1650C1}">
    <text xml:space="preserve">Using 5 Year Average
</text>
  </threadedComment>
  <threadedComment ref="B22" dT="2026-04-20T12:28:03.77" personId="{C44259D0-522D-4E8B-A167-570A2D87A088}" id="{AB53B1AE-2566-4018-9809-B9594282EE5A}">
    <text xml:space="preserve">= Advances &amp; Progress Billings / Revenue </text>
  </threadedComment>
  <threadedComment ref="B24" dT="2026-04-20T10:45:24.00" personId="{C44259D0-522D-4E8B-A167-570A2D87A088}" id="{51673AE6-06E8-48FA-B31E-08414EFC6EAE}">
    <text xml:space="preserve">Net Debt = Short-term Debt + Long-term Debt − Cash − Short-term Investments
</text>
  </threadedComment>
  <threadedComment ref="B25" dT="2026-04-20T11:05:41.99" personId="{C44259D0-522D-4E8B-A167-570A2D87A088}" id="{6F5D0B59-13E6-4EEE-A4A3-3D6301B89E8B}">
    <text xml:space="preserve">nm = not meaningful in loss years where EBITA is negative </text>
  </threadedComment>
  <threadedComment ref="B26" dT="2026-04-20T11:10:34.12" personId="{C44259D0-522D-4E8B-A167-570A2D87A088}" id="{D2FC311B-D62D-4859-9248-86B0419EBBAD}">
    <text xml:space="preserve">nm = not meaningful in loss years where EBITA is negative 
</text>
  </threadedComment>
  <threadedComment ref="B27" dT="2026-04-20T12:28:11.45" personId="{C44259D0-522D-4E8B-A167-570A2D87A088}" id="{684166F9-089A-4512-A4B3-595A1912C558}">
    <text xml:space="preserve">= Interest Expense / Total Debt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" dT="2026-04-22T11:42:26.59" personId="{C44259D0-522D-4E8B-A167-570A2D87A088}" id="{E020734A-44B8-41B1-9F60-59BA644A2BE0}">
    <text>Using 3 Year Average</text>
  </threadedComment>
  <threadedComment ref="H21" dT="2026-04-22T12:01:08.82" personId="{C44259D0-522D-4E8B-A167-570A2D87A088}" id="{BF7762D6-2D19-4E5A-A42F-48F1758CDBF9}">
    <text xml:space="preserve">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ext>
  </threadedComment>
  <threadedComment ref="I21" dT="2026-04-22T12:01:17.84" personId="{C44259D0-522D-4E8B-A167-570A2D87A088}" id="{BD0AADAC-A367-4E56-B134-8D85E5D1F39A}">
    <text xml:space="preserve">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ext>
  </threadedComment>
  <threadedComment ref="B23" dT="2026-04-20T11:23:37.43" personId="{C44259D0-522D-4E8B-A167-570A2D87A088}" id="{8408FF94-C482-4CF7-B3B6-E64B1A7C83FA}">
    <text xml:space="preserve">Disclosed as basic weighted average common shares outstanding in the EPS footnote of the 10-K </text>
  </threadedComment>
  <threadedComment ref="B25" dT="2026-04-20T11:23:42.11" personId="{C44259D0-522D-4E8B-A167-570A2D87A088}" id="{D28620DE-7806-4031-A94C-5A70B9745900}">
    <text xml:space="preserve">Disclosed as diluted weighted average common shares outstanding in the EPS footnote of the 10-K 
</text>
  </threadedComment>
  <threadedComment ref="B76" dT="2026-04-20T03:26:43.70" personId="{C44259D0-522D-4E8B-A167-570A2D87A088}" id="{DF0D4C79-7457-440F-B77D-C897944542A1}">
    <text>777X and 787 Reach Forward Losses in 2021</text>
  </threadedComment>
  <threadedComment ref="B92" dT="2026-04-20T08:39:06.63" personId="{C44259D0-522D-4E8B-A167-570A2D87A088}" id="{3406BCD8-C23B-47A2-8911-97DD0FF0B2D2}">
    <text>Payments to Acquire Property, Plant and Equipment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93F3-07B6-4D14-B60E-5605CD0CD4D1}">
  <dimension ref="B1:H11"/>
  <sheetViews>
    <sheetView showGridLines="0" workbookViewId="0">
      <selection activeCell="G17" sqref="G17"/>
    </sheetView>
  </sheetViews>
  <sheetFormatPr defaultRowHeight="15" x14ac:dyDescent="0.25"/>
  <cols>
    <col min="1" max="1" width="9.140625" customWidth="1"/>
    <col min="4" max="4" width="9.140625" customWidth="1"/>
  </cols>
  <sheetData>
    <row r="1" spans="2:8" s="65" customFormat="1" x14ac:dyDescent="0.25"/>
    <row r="2" spans="2:8" s="65" customFormat="1" x14ac:dyDescent="0.25"/>
    <row r="3" spans="2:8" s="63" customFormat="1" ht="15" customHeight="1" x14ac:dyDescent="0.25">
      <c r="B3" s="93" t="s">
        <v>130</v>
      </c>
      <c r="C3" s="93"/>
      <c r="D3" s="93"/>
      <c r="E3" s="93"/>
      <c r="F3" s="93"/>
      <c r="G3" s="93"/>
      <c r="H3" s="93"/>
    </row>
    <row r="4" spans="2:8" s="63" customFormat="1" ht="15" customHeight="1" x14ac:dyDescent="0.25">
      <c r="B4" s="93"/>
      <c r="C4" s="93"/>
      <c r="D4" s="93"/>
      <c r="E4" s="93"/>
      <c r="F4" s="93"/>
      <c r="G4" s="93"/>
      <c r="H4" s="93"/>
    </row>
    <row r="5" spans="2:8" s="63" customFormat="1" ht="15" customHeight="1" x14ac:dyDescent="0.25">
      <c r="B5" s="93"/>
      <c r="C5" s="93"/>
      <c r="D5" s="93"/>
      <c r="E5" s="93"/>
      <c r="F5" s="93"/>
      <c r="G5" s="93"/>
      <c r="H5" s="93"/>
    </row>
    <row r="6" spans="2:8" s="63" customFormat="1" ht="15" customHeight="1" x14ac:dyDescent="0.25">
      <c r="B6" s="93"/>
      <c r="C6" s="93"/>
      <c r="D6" s="93"/>
      <c r="E6" s="93"/>
      <c r="F6" s="93"/>
      <c r="G6" s="93"/>
      <c r="H6" s="93"/>
    </row>
    <row r="7" spans="2:8" s="63" customFormat="1" x14ac:dyDescent="0.25">
      <c r="B7" s="92" t="s">
        <v>131</v>
      </c>
      <c r="C7" s="92"/>
      <c r="D7" s="92"/>
      <c r="E7" s="92"/>
      <c r="F7" s="92"/>
      <c r="G7" s="92"/>
      <c r="H7" s="92"/>
    </row>
    <row r="8" spans="2:8" s="63" customFormat="1" x14ac:dyDescent="0.25">
      <c r="B8" s="64"/>
      <c r="C8" s="64"/>
      <c r="D8" s="64"/>
      <c r="E8" s="64"/>
      <c r="F8" s="64"/>
      <c r="G8" s="64"/>
      <c r="H8" s="64"/>
    </row>
    <row r="10" spans="2:8" x14ac:dyDescent="0.25">
      <c r="B10" s="89" t="s">
        <v>132</v>
      </c>
      <c r="C10" s="89"/>
      <c r="D10" s="89" t="s">
        <v>133</v>
      </c>
      <c r="E10" s="89"/>
    </row>
    <row r="11" spans="2:8" x14ac:dyDescent="0.25">
      <c r="B11" s="89" t="s">
        <v>134</v>
      </c>
      <c r="C11" s="89"/>
      <c r="D11" s="90">
        <f ca="1">TODAY()</f>
        <v>46135</v>
      </c>
      <c r="E11" s="91"/>
    </row>
  </sheetData>
  <mergeCells count="6">
    <mergeCell ref="B11:C11"/>
    <mergeCell ref="D11:E11"/>
    <mergeCell ref="B7:H7"/>
    <mergeCell ref="B3:H6"/>
    <mergeCell ref="B10:C10"/>
    <mergeCell ref="D10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5D2A-A50B-4FBA-8796-A11698F2E476}">
  <dimension ref="B1:L27"/>
  <sheetViews>
    <sheetView showGridLines="0" workbookViewId="0">
      <selection activeCell="J8" sqref="J8"/>
    </sheetView>
  </sheetViews>
  <sheetFormatPr defaultRowHeight="15" x14ac:dyDescent="0.25"/>
  <cols>
    <col min="2" max="2" width="38.28515625" bestFit="1" customWidth="1"/>
    <col min="3" max="12" width="17.140625" customWidth="1"/>
  </cols>
  <sheetData>
    <row r="1" spans="2:12" x14ac:dyDescent="0.25">
      <c r="G1" s="38"/>
    </row>
    <row r="2" spans="2:12" ht="15.75" x14ac:dyDescent="0.3">
      <c r="B2" s="1" t="s">
        <v>91</v>
      </c>
      <c r="C2" s="47">
        <v>2021</v>
      </c>
      <c r="D2" s="47">
        <f>+C2+1</f>
        <v>2022</v>
      </c>
      <c r="E2" s="47">
        <f>+D2+1</f>
        <v>2023</v>
      </c>
      <c r="F2" s="47">
        <f>+E2+1</f>
        <v>2024</v>
      </c>
      <c r="G2" s="49">
        <f>+F2+1</f>
        <v>2025</v>
      </c>
      <c r="H2" s="49">
        <f t="shared" ref="H2:L2" si="0">+G2+1</f>
        <v>2026</v>
      </c>
      <c r="I2" s="49">
        <f t="shared" si="0"/>
        <v>2027</v>
      </c>
      <c r="J2" s="49">
        <f t="shared" si="0"/>
        <v>2028</v>
      </c>
      <c r="K2" s="49">
        <f t="shared" si="0"/>
        <v>2029</v>
      </c>
      <c r="L2" s="49">
        <f t="shared" si="0"/>
        <v>2030</v>
      </c>
    </row>
    <row r="3" spans="2:12" ht="15.75" x14ac:dyDescent="0.3">
      <c r="B3" s="15" t="s">
        <v>92</v>
      </c>
      <c r="C3" s="24"/>
      <c r="D3" s="24"/>
      <c r="E3" s="24"/>
      <c r="F3" s="24"/>
      <c r="G3" s="25"/>
    </row>
    <row r="4" spans="2:12" ht="15.75" x14ac:dyDescent="0.3">
      <c r="B4" s="14" t="s">
        <v>93</v>
      </c>
      <c r="C4" s="51">
        <v>0</v>
      </c>
      <c r="D4" s="52">
        <f>'3 Statement Model'!D4/'3 Statement Model'!C4 - 1</f>
        <v>6.9389589956009301E-2</v>
      </c>
      <c r="E4" s="52">
        <f>'3 Statement Model'!E4/'3 Statement Model'!D4 - 1</f>
        <v>0.16793778525102088</v>
      </c>
      <c r="F4" s="52">
        <f>'3 Statement Model'!F4/'3 Statement Model'!E4 - 1</f>
        <v>-0.14495976553461709</v>
      </c>
      <c r="G4" s="52">
        <f>'3 Statement Model'!G4/'3 Statement Model'!F4 - 1</f>
        <v>0.34496444517942781</v>
      </c>
      <c r="H4" s="68">
        <f>RATE(4,0,-'3 Statement Model'!$C$4,'3 Statement Model'!$G$4)</f>
        <v>9.4745715087468374E-2</v>
      </c>
      <c r="I4" s="67">
        <f>RATE(4,0,-'3 Statement Model'!$C$4,'3 Statement Model'!$G$4)</f>
        <v>9.4745715087468374E-2</v>
      </c>
      <c r="J4" s="67">
        <f>RATE(4,0,-'3 Statement Model'!$C$4,'3 Statement Model'!$G$4)</f>
        <v>9.4745715087468374E-2</v>
      </c>
      <c r="K4" s="67">
        <f>RATE(4,0,-'3 Statement Model'!$C$4,'3 Statement Model'!$G$4)</f>
        <v>9.4745715087468374E-2</v>
      </c>
      <c r="L4" s="67">
        <f>RATE(4,0,-'3 Statement Model'!$C$4,'3 Statement Model'!$G$4)</f>
        <v>9.4745715087468374E-2</v>
      </c>
    </row>
    <row r="5" spans="2:12" ht="15.75" x14ac:dyDescent="0.3">
      <c r="B5" s="15" t="s">
        <v>94</v>
      </c>
      <c r="C5" s="17"/>
      <c r="D5" s="17"/>
      <c r="E5" s="17"/>
      <c r="F5" s="17"/>
      <c r="G5" s="17"/>
      <c r="H5" s="66"/>
      <c r="I5" s="52"/>
      <c r="J5" s="52"/>
      <c r="K5" s="52"/>
      <c r="L5" s="52"/>
    </row>
    <row r="6" spans="2:12" ht="15.75" x14ac:dyDescent="0.3">
      <c r="B6" s="4" t="s">
        <v>95</v>
      </c>
      <c r="C6" s="52">
        <f>'3 Statement Model'!C6/'3 Statement Model'!C4</f>
        <v>4.8951610313714158E-2</v>
      </c>
      <c r="D6" s="52">
        <f>'3 Statement Model'!D6/'3 Statement Model'!D4</f>
        <v>5.2996637040595727E-2</v>
      </c>
      <c r="E6" s="52">
        <f>'3 Statement Model'!E6/'3 Statement Model'!E4</f>
        <v>9.9287862817183839E-2</v>
      </c>
      <c r="F6" s="52">
        <f>'3 Statement Model'!F6/'3 Statement Model'!F4</f>
        <v>-2.9932197784025137E-2</v>
      </c>
      <c r="G6" s="67">
        <f>'3 Statement Model'!G6/'3 Statement Model'!G4</f>
        <v>4.7941607144853182E-2</v>
      </c>
      <c r="H6" s="68"/>
      <c r="I6" s="67"/>
      <c r="J6" s="67"/>
      <c r="K6" s="67"/>
      <c r="L6" s="67"/>
    </row>
    <row r="7" spans="2:12" ht="15.75" x14ac:dyDescent="0.3">
      <c r="B7" s="4" t="s">
        <v>96</v>
      </c>
      <c r="C7" s="52">
        <f>'3 Statement Model'!C5/'3 Statement Model'!C4</f>
        <v>0.9510483896862858</v>
      </c>
      <c r="D7" s="52">
        <f>'3 Statement Model'!D5/'3 Statement Model'!D4</f>
        <v>0.94700336295940424</v>
      </c>
      <c r="E7" s="52">
        <f>'3 Statement Model'!E5/'3 Statement Model'!E4</f>
        <v>0.90071213718281617</v>
      </c>
      <c r="F7" s="52">
        <f>'3 Statement Model'!F5/'3 Statement Model'!F4</f>
        <v>1.0299321977840252</v>
      </c>
      <c r="G7" s="52">
        <f>'3 Statement Model'!G5/'3 Statement Model'!G4</f>
        <v>0.95205839285514682</v>
      </c>
      <c r="H7" s="66"/>
      <c r="I7" s="52"/>
      <c r="J7" s="52"/>
      <c r="K7" s="52"/>
      <c r="L7" s="52"/>
    </row>
    <row r="8" spans="2:12" ht="15.75" x14ac:dyDescent="0.3">
      <c r="B8" s="4" t="s">
        <v>98</v>
      </c>
      <c r="C8" s="52">
        <f>'3 Statement Model'!C8/'3 Statement Model'!C4</f>
        <v>6.67405195389012E-2</v>
      </c>
      <c r="D8" s="52">
        <f>'3 Statement Model'!D8/'3 Statement Model'!D4</f>
        <v>6.2860317079029546E-2</v>
      </c>
      <c r="E8" s="52">
        <f>'3 Statement Model'!E8/'3 Statement Model'!E4</f>
        <v>6.6431858498084681E-2</v>
      </c>
      <c r="F8" s="52">
        <f>'3 Statement Model'!F8/'3 Statement Model'!F4</f>
        <v>7.5484462618578704E-2</v>
      </c>
      <c r="G8" s="52">
        <f>'3 Statement Model'!G8/'3 Statement Model'!G4</f>
        <v>6.8072834579658625E-2</v>
      </c>
      <c r="H8" s="66"/>
      <c r="I8" s="52"/>
      <c r="J8" s="52"/>
      <c r="K8" s="52"/>
      <c r="L8" s="52"/>
    </row>
    <row r="9" spans="2:12" ht="15.75" x14ac:dyDescent="0.3">
      <c r="B9" s="4" t="s">
        <v>97</v>
      </c>
      <c r="C9" s="52">
        <f>'3 Statement Model'!C9/'3 Statement Model'!C4</f>
        <v>3.6107632533795717E-2</v>
      </c>
      <c r="D9" s="52">
        <f>'3 Statement Model'!D9/'3 Statement Model'!D4</f>
        <v>4.2817679558011051E-2</v>
      </c>
      <c r="E9" s="52">
        <f>'3 Statement Model'!E9/'3 Statement Model'!E4</f>
        <v>4.3409517443504637E-2</v>
      </c>
      <c r="F9" s="52">
        <f>'3 Statement Model'!F9/'3 Statement Model'!F4</f>
        <v>5.730865793706872E-2</v>
      </c>
      <c r="G9" s="52">
        <f>'3 Statement Model'!G9/'3 Statement Model'!G4</f>
        <v>4.0407766339156971E-2</v>
      </c>
      <c r="H9" s="66"/>
      <c r="I9" s="52"/>
      <c r="J9" s="52"/>
      <c r="K9" s="52"/>
      <c r="L9" s="52"/>
    </row>
    <row r="10" spans="2:12" ht="15.75" x14ac:dyDescent="0.3">
      <c r="B10" s="4" t="s">
        <v>99</v>
      </c>
      <c r="C10" s="52">
        <f>'3 Statement Model'!C11/'3 Statement Model'!C4</f>
        <v>-5.3896541758982758E-2</v>
      </c>
      <c r="D10" s="52">
        <f>'3 Statement Model'!D11/'3 Statement Model'!D4</f>
        <v>-5.268135959644487E-2</v>
      </c>
      <c r="E10" s="52">
        <f>'3 Statement Model'!E11/'3 Statement Model'!E4</f>
        <v>-1.0553513124405481E-2</v>
      </c>
      <c r="F10" s="52">
        <f>'3 Statement Model'!F11/'3 Statement Model'!F4</f>
        <v>-0.16272531833967258</v>
      </c>
      <c r="G10" s="52">
        <f>'3 Statement Model'!G11/'3 Statement Model'!G4</f>
        <v>-6.0538993773962421E-2</v>
      </c>
      <c r="H10" s="66"/>
      <c r="I10" s="52"/>
      <c r="J10" s="52"/>
      <c r="K10" s="52"/>
      <c r="L10" s="52"/>
    </row>
    <row r="11" spans="2:12" ht="15.75" x14ac:dyDescent="0.3">
      <c r="B11" s="4" t="s">
        <v>100</v>
      </c>
      <c r="C11" s="52">
        <f>'3 Statement Model'!C18/'3 Statement Model'!C4</f>
        <v>-6.8875830844812636E-2</v>
      </c>
      <c r="D11" s="52">
        <f>'3 Statement Model'!D18/'3 Statement Model'!D4</f>
        <v>-7.5861758347345667E-2</v>
      </c>
      <c r="E11" s="52">
        <f>'3 Statement Model'!E18/'3 Statement Model'!E4</f>
        <v>-2.8819703319022033E-2</v>
      </c>
      <c r="F11" s="52">
        <f>'3 Statement Model'!F18/'3 Statement Model'!F4</f>
        <v>-0.17783423786400468</v>
      </c>
      <c r="G11" s="52">
        <f>'3 Statement Model'!G18/'3 Statement Model'!G4</f>
        <v>2.5015928372623321E-2</v>
      </c>
      <c r="H11" s="66"/>
      <c r="I11" s="52"/>
      <c r="J11" s="52"/>
      <c r="K11" s="52"/>
      <c r="L11" s="52"/>
    </row>
    <row r="12" spans="2:12" ht="15.75" x14ac:dyDescent="0.3">
      <c r="B12" s="15" t="s">
        <v>101</v>
      </c>
      <c r="C12" s="53"/>
      <c r="D12" s="53"/>
      <c r="E12" s="53"/>
      <c r="F12" s="53"/>
      <c r="G12" s="53"/>
      <c r="H12" s="66"/>
      <c r="I12" s="52"/>
      <c r="J12" s="52"/>
      <c r="K12" s="52"/>
      <c r="L12" s="52"/>
    </row>
    <row r="13" spans="2:12" ht="15.75" x14ac:dyDescent="0.3">
      <c r="B13" s="4" t="s">
        <v>102</v>
      </c>
      <c r="C13" s="51">
        <v>0</v>
      </c>
      <c r="D13" s="51">
        <v>0</v>
      </c>
      <c r="E13" s="51">
        <v>0</v>
      </c>
      <c r="F13" s="51">
        <v>0</v>
      </c>
      <c r="G13" s="67">
        <f>'3 Statement Model'!G17/'3 Statement Model'!G16</f>
        <v>0.15066413662239089</v>
      </c>
      <c r="H13" s="68">
        <v>0.21</v>
      </c>
      <c r="I13" s="67">
        <v>0.21</v>
      </c>
      <c r="J13" s="67">
        <v>0.21</v>
      </c>
      <c r="K13" s="67">
        <v>0.21</v>
      </c>
      <c r="L13" s="67">
        <v>0.21</v>
      </c>
    </row>
    <row r="14" spans="2:12" ht="15.75" x14ac:dyDescent="0.3">
      <c r="B14" s="15" t="s">
        <v>57</v>
      </c>
      <c r="C14" s="53"/>
      <c r="D14" s="53"/>
      <c r="E14" s="53"/>
      <c r="F14" s="53"/>
      <c r="G14" s="53"/>
      <c r="H14" s="66"/>
      <c r="I14" s="52"/>
      <c r="J14" s="52"/>
      <c r="K14" s="52"/>
      <c r="L14" s="52"/>
    </row>
    <row r="15" spans="2:12" ht="15.75" x14ac:dyDescent="0.3">
      <c r="B15" s="4" t="s">
        <v>103</v>
      </c>
      <c r="C15" s="52">
        <f>'3 Statement Model'!C92/'3 Statement Model'!C4</f>
        <v>-1.5733872780400091E-2</v>
      </c>
      <c r="D15" s="52">
        <f>'3 Statement Model'!D92/'3 Statement Model'!D4</f>
        <v>-1.8346144607254384E-2</v>
      </c>
      <c r="E15" s="52">
        <f>'3 Statement Model'!E92/'3 Statement Model'!E4</f>
        <v>-1.9628763143687174E-2</v>
      </c>
      <c r="F15" s="52">
        <f>'3 Statement Model'!F92/'3 Statement Model'!F4</f>
        <v>-3.3525264218169794E-2</v>
      </c>
      <c r="G15" s="67">
        <f>'3 Statement Model'!G92/'3 Statement Model'!G4</f>
        <v>-3.2885103338810458E-2</v>
      </c>
      <c r="H15" s="68"/>
      <c r="I15" s="67"/>
      <c r="J15" s="67"/>
      <c r="K15" s="67"/>
      <c r="L15" s="67"/>
    </row>
    <row r="16" spans="2:12" ht="15.75" x14ac:dyDescent="0.3">
      <c r="B16" s="4" t="s">
        <v>104</v>
      </c>
      <c r="C16" s="52">
        <f>'3 Statement Model'!C92/'3 Statement Model'!C38</f>
        <v>-8.9760029309397332E-2</v>
      </c>
      <c r="D16" s="52">
        <f>'3 Statement Model'!D92/'3 Statement Model'!D38</f>
        <v>-0.11582938388625592</v>
      </c>
      <c r="E16" s="52">
        <f>'3 Statement Model'!E92/'3 Statement Model'!E38</f>
        <v>-0.14323234218178407</v>
      </c>
      <c r="F16" s="52">
        <f>'3 Statement Model'!F92/'3 Statement Model'!F38</f>
        <v>-0.19540834209603924</v>
      </c>
      <c r="G16" s="52">
        <f>'3 Statement Model'!G92/'3 Statement Model'!G38</f>
        <v>-0.19152398932361175</v>
      </c>
      <c r="H16" s="66"/>
      <c r="I16" s="52"/>
      <c r="J16" s="52"/>
      <c r="K16" s="52"/>
      <c r="L16" s="52"/>
    </row>
    <row r="17" spans="2:12" ht="15.75" x14ac:dyDescent="0.3">
      <c r="B17" s="4" t="s">
        <v>105</v>
      </c>
      <c r="C17" s="52">
        <f>'3 Statement Model'!C72/'3 Statement Model'!C4</f>
        <v>3.4421860450181418E-2</v>
      </c>
      <c r="D17" s="52">
        <f>'3 Statement Model'!D72/'3 Statement Model'!D4</f>
        <v>2.9711145808311315E-2</v>
      </c>
      <c r="E17" s="52">
        <f>'3 Statement Model'!E72/'3 Statement Model'!E4</f>
        <v>2.3922153379438003E-2</v>
      </c>
      <c r="F17" s="52">
        <f>'3 Statement Model'!F72/'3 Statement Model'!F4</f>
        <v>2.7601966414600779E-2</v>
      </c>
      <c r="G17" s="52">
        <f>'3 Statement Model'!G72/'3 Statement Model'!G4</f>
        <v>2.1830253847959492E-2</v>
      </c>
      <c r="H17" s="66"/>
      <c r="I17" s="52"/>
      <c r="J17" s="52"/>
      <c r="K17" s="52"/>
      <c r="L17" s="52"/>
    </row>
    <row r="18" spans="2:12" ht="17.25" x14ac:dyDescent="0.4">
      <c r="B18" s="15" t="s">
        <v>106</v>
      </c>
      <c r="C18" s="54"/>
      <c r="D18" s="54"/>
      <c r="E18" s="54"/>
      <c r="F18" s="54"/>
      <c r="G18" s="54"/>
      <c r="H18" s="66"/>
      <c r="I18" s="52"/>
      <c r="J18" s="52"/>
      <c r="K18" s="52"/>
      <c r="L18" s="52"/>
    </row>
    <row r="19" spans="2:12" ht="15.75" x14ac:dyDescent="0.3">
      <c r="B19" s="48" t="s">
        <v>107</v>
      </c>
      <c r="C19" s="69">
        <f>'3 Statement Model'!C31/'3 Statement Model'!C4 *365</f>
        <v>15.476431300773848</v>
      </c>
      <c r="D19" s="69">
        <f>'3 Statement Model'!D31/'3 Statement Model'!D4 *365</f>
        <v>13.792712587076627</v>
      </c>
      <c r="E19" s="69">
        <f>'3 Statement Model'!E31/'3 Statement Model'!E4 *365</f>
        <v>12.428786281718386</v>
      </c>
      <c r="F19" s="69">
        <f>'3 Statement Model'!F31/'3 Statement Model'!F4 *365</f>
        <v>14.437136371153239</v>
      </c>
      <c r="G19" s="70">
        <f>'3 Statement Model'!G31/'3 Statement Model'!G4 *365</f>
        <v>11.917384840660384</v>
      </c>
      <c r="H19" s="72">
        <f>AVERAGE(C19:G19)</f>
        <v>13.610490276276497</v>
      </c>
      <c r="I19" s="70">
        <f t="shared" ref="I19:L19" si="1">AVERAGE(D19:H19)</f>
        <v>13.237302071377027</v>
      </c>
      <c r="J19" s="70">
        <f t="shared" si="1"/>
        <v>13.126219968237105</v>
      </c>
      <c r="K19" s="70">
        <f t="shared" si="1"/>
        <v>13.26570670554085</v>
      </c>
      <c r="L19" s="70">
        <f t="shared" si="1"/>
        <v>13.031420772418375</v>
      </c>
    </row>
    <row r="20" spans="2:12" ht="15.75" x14ac:dyDescent="0.3">
      <c r="B20" s="48" t="s">
        <v>108</v>
      </c>
      <c r="C20" s="69">
        <f>'3 Statement Model'!C34/'3 Statement Model'!C5 *365</f>
        <v>485.68285024562351</v>
      </c>
      <c r="D20" s="69">
        <f>'3 Statement Model'!D34/'3 Statement Model'!D5 *365</f>
        <v>452.21971210247631</v>
      </c>
      <c r="E20" s="69">
        <f>'3 Statement Model'!E34/'3 Statement Model'!E5 *365</f>
        <v>415.37698016269445</v>
      </c>
      <c r="F20" s="69">
        <f>'3 Statement Model'!F34/'3 Statement Model'!F5 *365</f>
        <v>466.45282302796755</v>
      </c>
      <c r="G20" s="69">
        <f>'3 Statement Model'!G34/'3 Statement Model'!G5 *365</f>
        <v>362.87875407988355</v>
      </c>
      <c r="H20" s="71">
        <f>AVERAGE(E20:G20)</f>
        <v>414.90285242351518</v>
      </c>
      <c r="I20" s="69">
        <f t="shared" ref="I20:L20" si="2">AVERAGE(F20:H20)</f>
        <v>414.74480984378874</v>
      </c>
      <c r="J20" s="69">
        <f t="shared" si="2"/>
        <v>397.50880544906249</v>
      </c>
      <c r="K20" s="69">
        <f t="shared" si="2"/>
        <v>409.05215590545549</v>
      </c>
      <c r="L20" s="69">
        <f t="shared" si="2"/>
        <v>407.10192373276891</v>
      </c>
    </row>
    <row r="21" spans="2:12" ht="15.75" x14ac:dyDescent="0.3">
      <c r="B21" s="48" t="s">
        <v>109</v>
      </c>
      <c r="C21" s="69">
        <f>'3 Statement Model'!C45/'3 Statement Model'!C5 *365</f>
        <v>57.063406316997828</v>
      </c>
      <c r="D21" s="69">
        <f>'3 Statement Model'!D45/'3 Statement Model'!D5 *365</f>
        <v>59.022163036240848</v>
      </c>
      <c r="E21" s="69">
        <f>'3 Statement Model'!E45/'3 Statement Model'!E5 *365</f>
        <v>62.321392892821464</v>
      </c>
      <c r="F21" s="69">
        <f>'3 Statement Model'!F45/'3 Statement Model'!F5 *365</f>
        <v>60.545629707479421</v>
      </c>
      <c r="G21" s="69">
        <f>'3 Statement Model'!G45/'3 Statement Model'!G5 *365</f>
        <v>56.176591448094491</v>
      </c>
      <c r="H21" s="71">
        <f t="shared" ref="H21" si="3">AVERAGE(C21:G21)</f>
        <v>59.025836680326805</v>
      </c>
      <c r="I21" s="69">
        <f t="shared" ref="I21" si="4">AVERAGE(D21:H21)</f>
        <v>59.418322752992609</v>
      </c>
      <c r="J21" s="69">
        <f t="shared" ref="J21" si="5">AVERAGE(E21:I21)</f>
        <v>59.497554696342959</v>
      </c>
      <c r="K21" s="69">
        <f t="shared" ref="K21" si="6">AVERAGE(F21:J21)</f>
        <v>58.932787057047257</v>
      </c>
      <c r="L21" s="69">
        <f t="shared" ref="L21" si="7">AVERAGE(G21:K21)</f>
        <v>58.610218526960828</v>
      </c>
    </row>
    <row r="22" spans="2:12" ht="15.75" x14ac:dyDescent="0.3">
      <c r="B22" s="48" t="s">
        <v>126</v>
      </c>
      <c r="C22" s="52">
        <f>'3 Statement Model'!C47/'3 Statement Model'!C4</f>
        <v>0.85059242847509875</v>
      </c>
      <c r="D22" s="52">
        <f>'3 Statement Model'!D47/'3 Statement Model'!D4</f>
        <v>0.79691628633197209</v>
      </c>
      <c r="E22" s="52">
        <f>'3 Statement Model'!E47/'3 Statement Model'!E4</f>
        <v>0.72406612335141529</v>
      </c>
      <c r="F22" s="52">
        <f>'3 Statement Model'!F47/'3 Statement Model'!F4</f>
        <v>0.90703128523535337</v>
      </c>
      <c r="G22" s="52">
        <f>'3 Statement Model'!G47/'3 Statement Model'!G4</f>
        <v>0.66400634899343858</v>
      </c>
      <c r="H22" s="66"/>
      <c r="I22" s="52"/>
      <c r="J22" s="52"/>
      <c r="K22" s="52"/>
      <c r="L22" s="52"/>
    </row>
    <row r="23" spans="2:12" ht="15.75" x14ac:dyDescent="0.3">
      <c r="B23" s="15" t="s">
        <v>110</v>
      </c>
      <c r="C23" s="52"/>
      <c r="D23" s="52"/>
      <c r="E23" s="52"/>
      <c r="F23" s="52"/>
      <c r="G23" s="52"/>
      <c r="H23" s="66"/>
      <c r="I23" s="52"/>
      <c r="J23" s="52"/>
      <c r="K23" s="52"/>
      <c r="L23" s="52"/>
    </row>
    <row r="24" spans="2:12" ht="15.75" x14ac:dyDescent="0.3">
      <c r="B24" s="48" t="s">
        <v>111</v>
      </c>
      <c r="C24" s="55">
        <f>'3 Statement Model'!C54+'3 Statement Model'!C48-'3 Statement Model'!C29-'3 Statement Model'!C30</f>
        <v>41858</v>
      </c>
      <c r="D24" s="55">
        <f>'3 Statement Model'!D54+'3 Statement Model'!D48-'3 Statement Model'!D29-'3 Statement Model'!D30</f>
        <v>39781</v>
      </c>
      <c r="E24" s="55">
        <f>'3 Statement Model'!E54+'3 Statement Model'!E48-'3 Statement Model'!E29-'3 Statement Model'!E30</f>
        <v>36342</v>
      </c>
      <c r="F24" s="55">
        <f>'3 Statement Model'!F54+'3 Statement Model'!F48-'3 Statement Model'!F29-'3 Statement Model'!F30</f>
        <v>27582</v>
      </c>
      <c r="G24" s="55">
        <f>'3 Statement Model'!G54+'3 Statement Model'!G48-'3 Statement Model'!G29-'3 Statement Model'!G30</f>
        <v>24698</v>
      </c>
      <c r="H24" s="75">
        <f>AVERAGE(E24:G24)</f>
        <v>29540.666666666668</v>
      </c>
      <c r="I24" s="55">
        <f t="shared" ref="I24:L24" si="8">AVERAGE(F24:H24)</f>
        <v>27273.555555555558</v>
      </c>
      <c r="J24" s="55">
        <f t="shared" si="8"/>
        <v>27170.740740740745</v>
      </c>
      <c r="K24" s="55">
        <f t="shared" si="8"/>
        <v>27994.987654320994</v>
      </c>
      <c r="L24" s="55">
        <f t="shared" si="8"/>
        <v>27479.761316872435</v>
      </c>
    </row>
    <row r="25" spans="2:12" ht="15.75" x14ac:dyDescent="0.3">
      <c r="B25" s="48" t="s">
        <v>112</v>
      </c>
      <c r="C25" s="56" t="str">
        <f>IF(C24/('3 Statement Model'!C11+'3 Statement Model'!C72)&lt;0, "nm", C24/('3 Statement Model'!C11+'3 Statement Model'!C72))</f>
        <v>nm</v>
      </c>
      <c r="D25" s="56" t="str">
        <f>IF(D24/('3 Statement Model'!D11+'3 Statement Model'!D72)&lt;0, "nm", D24/('3 Statement Model'!D11+'3 Statement Model'!D72))</f>
        <v>nm</v>
      </c>
      <c r="E25" s="56">
        <f>IF(E24/('3 Statement Model'!E11+'3 Statement Model'!E72)&lt;0, "nm", E24/('3 Statement Model'!E11+'3 Statement Model'!E72))</f>
        <v>34.944230769230771</v>
      </c>
      <c r="F25" s="56" t="str">
        <f>IF(F24/('3 Statement Model'!F11+'3 Statement Model'!F72)&lt;0, "nm", F24/('3 Statement Model'!F11+'3 Statement Model'!F72))</f>
        <v>nm</v>
      </c>
      <c r="G25" s="56" t="str">
        <f>IF(G24/('3 Statement Model'!G11+'3 Statement Model'!G72)&lt;0, "nm", G24/('3 Statement Model'!G11+'3 Statement Model'!G72))</f>
        <v>nm</v>
      </c>
      <c r="H25" s="66"/>
      <c r="I25" s="52"/>
      <c r="J25" s="52"/>
      <c r="K25" s="52"/>
      <c r="L25" s="52"/>
    </row>
    <row r="26" spans="2:12" ht="15.75" x14ac:dyDescent="0.3">
      <c r="B26" s="48" t="s">
        <v>113</v>
      </c>
      <c r="C26" s="56" t="str">
        <f>IF('3 Statement Model'!C15/('3 Statement Model'!C54+'3 Statement Model'!C48)&lt;0,"nm",'3 Statement Model'!C15/('3 Statement Model'!C54+'3 Statement Model'!C48))</f>
        <v>nm</v>
      </c>
      <c r="D26" s="56" t="str">
        <f>IF('3 Statement Model'!D15/('3 Statement Model'!D54+'3 Statement Model'!D48)&lt;0,"nm",'3 Statement Model'!D15/('3 Statement Model'!D54+'3 Statement Model'!D48))</f>
        <v>nm</v>
      </c>
      <c r="E26" s="56" t="str">
        <f>IF('3 Statement Model'!E15/('3 Statement Model'!E54+'3 Statement Model'!E48)&lt;0,"nm",'3 Statement Model'!E15/('3 Statement Model'!E54+'3 Statement Model'!E48))</f>
        <v>nm</v>
      </c>
      <c r="F26" s="56" t="str">
        <f>IF('3 Statement Model'!F15/('3 Statement Model'!F54+'3 Statement Model'!F48)&lt;0,"nm",'3 Statement Model'!F15/('3 Statement Model'!F54+'3 Statement Model'!F48))</f>
        <v>nm</v>
      </c>
      <c r="G26" s="56" t="str">
        <f>IF('3 Statement Model'!G15/('3 Statement Model'!G54+'3 Statement Model'!G48)&lt;0,"nm",'3 Statement Model'!G15/('3 Statement Model'!G54+'3 Statement Model'!G48))</f>
        <v>nm</v>
      </c>
      <c r="H26" s="66"/>
      <c r="I26" s="52"/>
      <c r="J26" s="52"/>
      <c r="K26" s="52"/>
      <c r="L26" s="52"/>
    </row>
    <row r="27" spans="2:12" ht="15.75" x14ac:dyDescent="0.3">
      <c r="B27" s="61" t="s">
        <v>114</v>
      </c>
      <c r="C27" s="62">
        <f>'3 Statement Model'!C15/('3 Statement Model'!C54+'3 Statement Model'!C48)</f>
        <v>-4.6710956593576811E-2</v>
      </c>
      <c r="D27" s="62">
        <f>'3 Statement Model'!D15/('3 Statement Model'!D54+'3 Statement Model'!D48)</f>
        <v>-4.4929036332695918E-2</v>
      </c>
      <c r="E27" s="62">
        <f>'3 Statement Model'!E15/('3 Statement Model'!E54+'3 Statement Model'!E48)</f>
        <v>-4.7010916320951307E-2</v>
      </c>
      <c r="F27" s="62">
        <f>'3 Statement Model'!F15/('3 Statement Model'!F54+'3 Statement Model'!F48)</f>
        <v>-5.0590375761176296E-2</v>
      </c>
      <c r="G27" s="62">
        <f>'3 Statement Model'!G15/('3 Statement Model'!G54+'3 Statement Model'!G48)</f>
        <v>-5.1221856630559358E-2</v>
      </c>
      <c r="H27" s="73">
        <f>AVERAGE(E27:G27)</f>
        <v>-4.960771623756232E-2</v>
      </c>
      <c r="I27" s="62">
        <f t="shared" ref="I27:L27" si="9">AVERAGE(F27:H27)</f>
        <v>-5.0473316209765993E-2</v>
      </c>
      <c r="J27" s="62">
        <f t="shared" si="9"/>
        <v>-5.0434296359295888E-2</v>
      </c>
      <c r="K27" s="62">
        <f t="shared" si="9"/>
        <v>-5.0171776268874736E-2</v>
      </c>
      <c r="L27" s="62">
        <f t="shared" si="9"/>
        <v>-5.0359796279312204E-2</v>
      </c>
    </row>
  </sheetData>
  <pageMargins left="0.7" right="0.7" top="0.75" bottom="0.75" header="0.3" footer="0.3"/>
  <pageSetup orientation="portrait" horizontalDpi="1200" verticalDpi="1200" r:id="rId1"/>
  <ignoredErrors>
    <ignoredError sqref="H20:L20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2991-E7C1-464F-8C4C-AEB74938335E}">
  <dimension ref="B1:L118"/>
  <sheetViews>
    <sheetView showGridLines="0" tabSelected="1" zoomScaleNormal="100" workbookViewId="0">
      <selection activeCell="J14" sqref="J14"/>
    </sheetView>
  </sheetViews>
  <sheetFormatPr defaultRowHeight="15" x14ac:dyDescent="0.25"/>
  <cols>
    <col min="2" max="2" width="55.85546875" bestFit="1" customWidth="1"/>
    <col min="3" max="12" width="17.140625" customWidth="1"/>
    <col min="13" max="14" width="14.28515625" customWidth="1"/>
  </cols>
  <sheetData>
    <row r="1" spans="2:12" x14ac:dyDescent="0.25">
      <c r="H1" s="19"/>
    </row>
    <row r="2" spans="2:12" x14ac:dyDescent="0.25">
      <c r="H2" s="19"/>
    </row>
    <row r="3" spans="2:12" ht="15.75" x14ac:dyDescent="0.3">
      <c r="B3" s="1" t="s">
        <v>0</v>
      </c>
      <c r="C3" s="2">
        <v>2021</v>
      </c>
      <c r="D3" s="2">
        <f>+C3+1</f>
        <v>2022</v>
      </c>
      <c r="E3" s="2">
        <f>+D3+1</f>
        <v>2023</v>
      </c>
      <c r="F3" s="2">
        <f>+E3+1</f>
        <v>2024</v>
      </c>
      <c r="G3" s="2">
        <f>+F3+1</f>
        <v>2025</v>
      </c>
      <c r="H3" s="2">
        <f t="shared" ref="H3" si="0">+G3+1</f>
        <v>2026</v>
      </c>
      <c r="I3" s="2">
        <f t="shared" ref="I3" si="1">+H3+1</f>
        <v>2027</v>
      </c>
      <c r="J3" s="2">
        <f t="shared" ref="J3" si="2">+I3+1</f>
        <v>2028</v>
      </c>
      <c r="K3" s="2">
        <f t="shared" ref="K3" si="3">+J3+1</f>
        <v>2029</v>
      </c>
      <c r="L3" s="2">
        <f t="shared" ref="L3" si="4">+K3+1</f>
        <v>2030</v>
      </c>
    </row>
    <row r="4" spans="2:12" ht="15.75" x14ac:dyDescent="0.3">
      <c r="B4" s="3" t="s">
        <v>1</v>
      </c>
      <c r="C4" s="5">
        <v>62286</v>
      </c>
      <c r="D4" s="5">
        <v>66608</v>
      </c>
      <c r="E4" s="5">
        <v>77794</v>
      </c>
      <c r="F4" s="5">
        <v>66517</v>
      </c>
      <c r="G4" s="58">
        <v>89463</v>
      </c>
      <c r="H4" s="51">
        <f>G4*(1+Assumptions!H4)</f>
        <v>97939.235908870192</v>
      </c>
      <c r="I4" s="51">
        <f>H4*(1+Assumptions!I4)</f>
        <v>107218.55885017637</v>
      </c>
      <c r="J4" s="51">
        <f>I4*(1+Assumptions!J4)</f>
        <v>117377.05787908415</v>
      </c>
      <c r="K4" s="51">
        <f>J4*(1+Assumptions!K4)</f>
        <v>128498.03116270115</v>
      </c>
      <c r="L4" s="51">
        <f>K4*(1+Assumptions!L4)</f>
        <v>140672.66901254308</v>
      </c>
    </row>
    <row r="5" spans="2:12" ht="15.75" x14ac:dyDescent="0.3">
      <c r="B5" s="14" t="s">
        <v>2</v>
      </c>
      <c r="C5" s="5">
        <v>59237</v>
      </c>
      <c r="D5" s="5">
        <v>63078</v>
      </c>
      <c r="E5" s="5">
        <v>70070</v>
      </c>
      <c r="F5" s="5">
        <v>68508</v>
      </c>
      <c r="G5" s="76">
        <v>85174</v>
      </c>
      <c r="H5" s="78">
        <f>H4*Assumptions!G7</f>
        <v>93243.871536860039</v>
      </c>
      <c r="I5" s="79"/>
      <c r="J5" s="79"/>
      <c r="K5" s="79"/>
      <c r="L5" s="79"/>
    </row>
    <row r="6" spans="2:12" ht="15.75" x14ac:dyDescent="0.3">
      <c r="B6" s="6" t="s">
        <v>3</v>
      </c>
      <c r="C6" s="7">
        <f>SUM(C4-C5)</f>
        <v>3049</v>
      </c>
      <c r="D6" s="7">
        <f>SUM(D4-D5)</f>
        <v>3530</v>
      </c>
      <c r="E6" s="7">
        <f>SUM(E4-E5)</f>
        <v>7724</v>
      </c>
      <c r="F6" s="7">
        <f>SUM(F4-F5)</f>
        <v>-1991</v>
      </c>
      <c r="G6" s="7">
        <f>SUM(G4-G5)</f>
        <v>4289</v>
      </c>
      <c r="H6" s="77">
        <f t="shared" ref="H6:L6" si="5">SUM(H4-H5)</f>
        <v>4695.3643720101536</v>
      </c>
      <c r="I6" s="7">
        <f t="shared" si="5"/>
        <v>107218.55885017637</v>
      </c>
      <c r="J6" s="7">
        <f t="shared" si="5"/>
        <v>117377.05787908415</v>
      </c>
      <c r="K6" s="7">
        <f t="shared" si="5"/>
        <v>128498.03116270115</v>
      </c>
      <c r="L6" s="7">
        <f t="shared" si="5"/>
        <v>140672.66901254308</v>
      </c>
    </row>
    <row r="7" spans="2:12" ht="15.75" x14ac:dyDescent="0.3">
      <c r="B7" s="8" t="s">
        <v>4</v>
      </c>
      <c r="C7" s="9"/>
      <c r="D7" s="9"/>
      <c r="E7" s="9"/>
      <c r="F7" s="9"/>
      <c r="G7" s="9"/>
      <c r="H7" s="19"/>
    </row>
    <row r="8" spans="2:12" ht="15.75" x14ac:dyDescent="0.3">
      <c r="B8" s="10" t="s">
        <v>7</v>
      </c>
      <c r="C8" s="11">
        <v>4157</v>
      </c>
      <c r="D8" s="11">
        <v>4187</v>
      </c>
      <c r="E8" s="11">
        <v>5168</v>
      </c>
      <c r="F8" s="11">
        <v>5021</v>
      </c>
      <c r="G8" s="11">
        <v>6090</v>
      </c>
      <c r="H8" s="74">
        <f>H4*Assumptions!G8</f>
        <v>6667.0014048826824</v>
      </c>
      <c r="I8" s="51"/>
      <c r="J8" s="51"/>
      <c r="K8" s="51"/>
      <c r="L8" s="51"/>
    </row>
    <row r="9" spans="2:12" ht="15.75" x14ac:dyDescent="0.3">
      <c r="B9" s="10" t="s">
        <v>6</v>
      </c>
      <c r="C9" s="11">
        <v>2249</v>
      </c>
      <c r="D9" s="11">
        <v>2852</v>
      </c>
      <c r="E9" s="11">
        <v>3377</v>
      </c>
      <c r="F9" s="11">
        <v>3812</v>
      </c>
      <c r="G9" s="11">
        <v>3615</v>
      </c>
      <c r="H9" s="78">
        <f>H4*Assumptions!G9</f>
        <v>3957.5057600411988</v>
      </c>
      <c r="I9" s="51"/>
      <c r="J9" s="51"/>
      <c r="K9" s="51"/>
      <c r="L9" s="51"/>
    </row>
    <row r="10" spans="2:12" ht="15.75" x14ac:dyDescent="0.3">
      <c r="B10" s="6" t="s">
        <v>8</v>
      </c>
      <c r="C10" s="7">
        <f>SUM(C8:C9)</f>
        <v>6406</v>
      </c>
      <c r="D10" s="7">
        <f t="shared" ref="D10:L10" si="6">SUM(D8:D9)</f>
        <v>7039</v>
      </c>
      <c r="E10" s="7">
        <f t="shared" si="6"/>
        <v>8545</v>
      </c>
      <c r="F10" s="7">
        <f t="shared" si="6"/>
        <v>8833</v>
      </c>
      <c r="G10" s="7">
        <f t="shared" si="6"/>
        <v>9705</v>
      </c>
      <c r="H10" s="77">
        <f t="shared" si="6"/>
        <v>10624.507164923882</v>
      </c>
      <c r="I10" s="7">
        <f t="shared" si="6"/>
        <v>0</v>
      </c>
      <c r="J10" s="7">
        <f t="shared" si="6"/>
        <v>0</v>
      </c>
      <c r="K10" s="7">
        <f t="shared" si="6"/>
        <v>0</v>
      </c>
      <c r="L10" s="7">
        <f t="shared" si="6"/>
        <v>0</v>
      </c>
    </row>
    <row r="11" spans="2:12" ht="15.75" x14ac:dyDescent="0.3">
      <c r="B11" s="6" t="s">
        <v>9</v>
      </c>
      <c r="C11" s="7">
        <f t="shared" ref="C11:H11" si="7">SUM(C6-C10)</f>
        <v>-3357</v>
      </c>
      <c r="D11" s="7">
        <f t="shared" si="7"/>
        <v>-3509</v>
      </c>
      <c r="E11" s="7">
        <f t="shared" si="7"/>
        <v>-821</v>
      </c>
      <c r="F11" s="7">
        <f t="shared" si="7"/>
        <v>-10824</v>
      </c>
      <c r="G11" s="34">
        <f t="shared" si="7"/>
        <v>-5416</v>
      </c>
      <c r="H11" s="7">
        <f t="shared" si="7"/>
        <v>-5929.142792913728</v>
      </c>
      <c r="I11" s="7">
        <f t="shared" ref="I11:L11" si="8">SUM(I6-I10)</f>
        <v>107218.55885017637</v>
      </c>
      <c r="J11" s="7">
        <f t="shared" si="8"/>
        <v>117377.05787908415</v>
      </c>
      <c r="K11" s="7">
        <f t="shared" si="8"/>
        <v>128498.03116270115</v>
      </c>
      <c r="L11" s="7">
        <f t="shared" si="8"/>
        <v>140672.66901254308</v>
      </c>
    </row>
    <row r="12" spans="2:12" ht="15.75" x14ac:dyDescent="0.3">
      <c r="B12" s="4" t="s">
        <v>48</v>
      </c>
      <c r="C12" s="5">
        <v>210</v>
      </c>
      <c r="D12" s="5">
        <v>-16</v>
      </c>
      <c r="E12" s="5">
        <v>46</v>
      </c>
      <c r="F12" s="5">
        <v>71</v>
      </c>
      <c r="G12" s="5">
        <v>25</v>
      </c>
      <c r="H12" s="80">
        <f>AVERAGE(E12:G12)</f>
        <v>47.333333333333336</v>
      </c>
      <c r="I12" s="81">
        <f t="shared" ref="I12:L12" si="9">AVERAGE(F12:H12)</f>
        <v>47.777777777777779</v>
      </c>
      <c r="J12" s="81">
        <f t="shared" si="9"/>
        <v>40.037037037037038</v>
      </c>
      <c r="K12" s="81">
        <f t="shared" si="9"/>
        <v>45.049382716049386</v>
      </c>
      <c r="L12" s="81">
        <f t="shared" si="9"/>
        <v>44.288065843621403</v>
      </c>
    </row>
    <row r="13" spans="2:12" ht="15.75" x14ac:dyDescent="0.3">
      <c r="B13" s="10" t="s">
        <v>47</v>
      </c>
      <c r="C13" s="11">
        <v>277</v>
      </c>
      <c r="D13" s="11">
        <v>6</v>
      </c>
      <c r="E13" s="11">
        <v>2</v>
      </c>
      <c r="F13" s="11">
        <v>46</v>
      </c>
      <c r="G13" s="11">
        <v>9672</v>
      </c>
      <c r="H13" s="80">
        <v>0</v>
      </c>
      <c r="I13" s="81">
        <v>0</v>
      </c>
      <c r="J13" s="81">
        <v>0</v>
      </c>
      <c r="K13" s="81">
        <v>0</v>
      </c>
      <c r="L13" s="81">
        <v>0</v>
      </c>
    </row>
    <row r="14" spans="2:12" ht="15.75" x14ac:dyDescent="0.3">
      <c r="B14" s="4" t="s">
        <v>12</v>
      </c>
      <c r="C14" s="5">
        <v>551</v>
      </c>
      <c r="D14" s="5">
        <v>1058</v>
      </c>
      <c r="E14" s="5">
        <v>1227</v>
      </c>
      <c r="F14" s="5">
        <v>1222</v>
      </c>
      <c r="G14" s="5">
        <v>1125</v>
      </c>
      <c r="H14" s="80">
        <f>AVERAGE(E14:G14)</f>
        <v>1191.3333333333333</v>
      </c>
      <c r="I14" s="81">
        <f t="shared" ref="I14:L14" si="10">AVERAGE(F14:H14)</f>
        <v>1179.4444444444443</v>
      </c>
      <c r="J14" s="81">
        <f t="shared" si="10"/>
        <v>1165.2592592592591</v>
      </c>
      <c r="K14" s="81">
        <f t="shared" si="10"/>
        <v>1178.6790123456788</v>
      </c>
      <c r="L14" s="81">
        <f t="shared" si="10"/>
        <v>1174.4609053497941</v>
      </c>
    </row>
    <row r="15" spans="2:12" ht="15.75" x14ac:dyDescent="0.3">
      <c r="B15" s="4" t="s">
        <v>10</v>
      </c>
      <c r="C15" s="5">
        <f>-2714</f>
        <v>-2714</v>
      </c>
      <c r="D15" s="5">
        <v>-2561</v>
      </c>
      <c r="E15" s="5">
        <v>-2459</v>
      </c>
      <c r="F15" s="5">
        <v>-2725</v>
      </c>
      <c r="G15" s="5">
        <v>-2771</v>
      </c>
      <c r="H15" s="19"/>
    </row>
    <row r="16" spans="2:12" ht="15.75" x14ac:dyDescent="0.3">
      <c r="B16" s="6" t="s">
        <v>11</v>
      </c>
      <c r="C16" s="7">
        <f>SUM(C11:C15)</f>
        <v>-5033</v>
      </c>
      <c r="D16" s="7">
        <f t="shared" ref="D16:F16" si="11">SUM(D11:D15)</f>
        <v>-5022</v>
      </c>
      <c r="E16" s="7">
        <f t="shared" si="11"/>
        <v>-2005</v>
      </c>
      <c r="F16" s="7">
        <f t="shared" si="11"/>
        <v>-12210</v>
      </c>
      <c r="G16" s="7">
        <f>SUM(G11:G15)</f>
        <v>2635</v>
      </c>
      <c r="H16" s="82">
        <f>SUM(H11:H15)</f>
        <v>-4690.476126247062</v>
      </c>
      <c r="I16" s="83">
        <f t="shared" ref="I16:L16" si="12">SUM(I11:I15)</f>
        <v>108445.78107239859</v>
      </c>
      <c r="J16" s="83">
        <f t="shared" si="12"/>
        <v>118582.35417538045</v>
      </c>
      <c r="K16" s="83">
        <f t="shared" si="12"/>
        <v>129721.75955776288</v>
      </c>
      <c r="L16" s="83">
        <f t="shared" si="12"/>
        <v>141891.41798373649</v>
      </c>
    </row>
    <row r="17" spans="2:12" ht="15.75" x14ac:dyDescent="0.3">
      <c r="B17" s="4" t="s">
        <v>5</v>
      </c>
      <c r="C17" s="11">
        <v>-743</v>
      </c>
      <c r="D17" s="11">
        <v>31</v>
      </c>
      <c r="E17" s="11">
        <v>237</v>
      </c>
      <c r="F17" s="11">
        <v>-381</v>
      </c>
      <c r="G17" s="11">
        <v>397</v>
      </c>
      <c r="H17" s="80">
        <f>H16*Assumptions!H13</f>
        <v>-984.99998651188298</v>
      </c>
      <c r="I17" s="81"/>
      <c r="J17" s="81"/>
      <c r="K17" s="81"/>
      <c r="L17" s="81"/>
    </row>
    <row r="18" spans="2:12" ht="16.5" thickBot="1" x14ac:dyDescent="0.35">
      <c r="B18" s="12" t="s">
        <v>51</v>
      </c>
      <c r="C18" s="13">
        <f t="shared" ref="C18:H18" si="13">SUM(C16-C17)</f>
        <v>-4290</v>
      </c>
      <c r="D18" s="13">
        <f t="shared" si="13"/>
        <v>-5053</v>
      </c>
      <c r="E18" s="13">
        <f t="shared" si="13"/>
        <v>-2242</v>
      </c>
      <c r="F18" s="13">
        <f t="shared" si="13"/>
        <v>-11829</v>
      </c>
      <c r="G18" s="13">
        <f t="shared" si="13"/>
        <v>2238</v>
      </c>
      <c r="H18" s="88">
        <f t="shared" si="13"/>
        <v>-3705.476139735179</v>
      </c>
      <c r="I18" s="13"/>
      <c r="J18" s="13"/>
      <c r="K18" s="13"/>
      <c r="L18" s="13"/>
    </row>
    <row r="19" spans="2:12" ht="16.5" thickTop="1" x14ac:dyDescent="0.3">
      <c r="B19" s="4" t="s">
        <v>121</v>
      </c>
      <c r="C19" s="11">
        <v>-88</v>
      </c>
      <c r="D19" s="11">
        <v>-118</v>
      </c>
      <c r="E19" s="11">
        <v>-20</v>
      </c>
      <c r="F19" s="11">
        <v>-12</v>
      </c>
      <c r="G19" s="58">
        <v>3</v>
      </c>
      <c r="H19" s="80">
        <f>AVERAGE(E19:G19)</f>
        <v>-9.6666666666666661</v>
      </c>
      <c r="I19" s="81">
        <f t="shared" ref="I19:L19" si="14">AVERAGE(F19:H19)</f>
        <v>-6.2222222222222214</v>
      </c>
      <c r="J19" s="81">
        <f t="shared" si="14"/>
        <v>-4.2962962962962958</v>
      </c>
      <c r="K19" s="81">
        <f t="shared" si="14"/>
        <v>-6.7283950617283947</v>
      </c>
      <c r="L19" s="81">
        <f t="shared" si="14"/>
        <v>-5.7489711934156373</v>
      </c>
    </row>
    <row r="20" spans="2:12" ht="15.75" x14ac:dyDescent="0.3">
      <c r="B20" s="15" t="s">
        <v>122</v>
      </c>
      <c r="C20" s="17">
        <f t="shared" ref="C20:F20" si="15">SUM(C18-C19)</f>
        <v>-4202</v>
      </c>
      <c r="D20" s="17">
        <f t="shared" si="15"/>
        <v>-4935</v>
      </c>
      <c r="E20" s="17">
        <f t="shared" si="15"/>
        <v>-2222</v>
      </c>
      <c r="F20" s="17">
        <f t="shared" si="15"/>
        <v>-11817</v>
      </c>
      <c r="G20" s="17">
        <f>SUM(G18-G19)</f>
        <v>2235</v>
      </c>
      <c r="H20" s="85">
        <f t="shared" ref="H20:L20" si="16">SUM(H18-H19)</f>
        <v>-3695.8094730685125</v>
      </c>
      <c r="I20" s="17">
        <f>SUM(I18-I19)</f>
        <v>6.2222222222222214</v>
      </c>
      <c r="J20" s="17">
        <f t="shared" si="16"/>
        <v>4.2962962962962958</v>
      </c>
      <c r="K20" s="17">
        <f t="shared" si="16"/>
        <v>6.7283950617283947</v>
      </c>
      <c r="L20" s="17">
        <f t="shared" si="16"/>
        <v>5.7489711934156373</v>
      </c>
    </row>
    <row r="21" spans="2:12" ht="15.75" x14ac:dyDescent="0.3">
      <c r="B21" s="4" t="s">
        <v>123</v>
      </c>
      <c r="C21" s="11">
        <v>0</v>
      </c>
      <c r="D21" s="11">
        <v>0</v>
      </c>
      <c r="E21" s="11">
        <v>0</v>
      </c>
      <c r="F21" s="11">
        <v>58</v>
      </c>
      <c r="G21" s="58">
        <v>-345</v>
      </c>
      <c r="H21" s="18">
        <v>-345</v>
      </c>
      <c r="I21" s="18">
        <v>-173</v>
      </c>
      <c r="J21" s="18">
        <v>0</v>
      </c>
      <c r="K21" s="18">
        <v>0</v>
      </c>
      <c r="L21" s="18">
        <v>0</v>
      </c>
    </row>
    <row r="22" spans="2:12" ht="15.75" x14ac:dyDescent="0.3">
      <c r="B22" s="15" t="s">
        <v>124</v>
      </c>
      <c r="C22" s="17">
        <f t="shared" ref="C22:E22" si="17">SUM(C20-C21)</f>
        <v>-4202</v>
      </c>
      <c r="D22" s="17">
        <f t="shared" si="17"/>
        <v>-4935</v>
      </c>
      <c r="E22" s="17">
        <f t="shared" si="17"/>
        <v>-2222</v>
      </c>
      <c r="F22" s="17">
        <f>SUM(F20-F21)</f>
        <v>-11875</v>
      </c>
      <c r="G22" s="50">
        <f>SUM(G20:G21)</f>
        <v>1890</v>
      </c>
      <c r="H22" s="84">
        <f t="shared" ref="H22:L22" si="18">SUM(H20:H21)</f>
        <v>-4040.8094730685125</v>
      </c>
      <c r="I22" s="84">
        <f t="shared" si="18"/>
        <v>-166.77777777777777</v>
      </c>
      <c r="J22" s="84">
        <f t="shared" si="18"/>
        <v>4.2962962962962958</v>
      </c>
      <c r="K22" s="84">
        <f t="shared" si="18"/>
        <v>6.7283950617283947</v>
      </c>
      <c r="L22" s="84">
        <f t="shared" si="18"/>
        <v>5.7489711934156373</v>
      </c>
    </row>
    <row r="23" spans="2:12" ht="15.75" x14ac:dyDescent="0.3">
      <c r="B23" s="48" t="s">
        <v>119</v>
      </c>
      <c r="C23" s="57">
        <v>587.6</v>
      </c>
      <c r="D23" s="57">
        <v>594.9</v>
      </c>
      <c r="E23" s="57">
        <v>605.79999999999995</v>
      </c>
      <c r="F23" s="57">
        <v>646.9</v>
      </c>
      <c r="G23" s="57">
        <v>759.8</v>
      </c>
      <c r="H23" s="82">
        <f>AVERAGE(E23:G23)</f>
        <v>670.83333333333326</v>
      </c>
      <c r="I23" s="83">
        <f t="shared" ref="I23:L23" si="19">AVERAGE(F23:H23)</f>
        <v>692.51111111111095</v>
      </c>
      <c r="J23" s="83">
        <f t="shared" si="19"/>
        <v>707.71481481481476</v>
      </c>
      <c r="K23" s="83">
        <f t="shared" si="19"/>
        <v>690.35308641975291</v>
      </c>
      <c r="L23" s="83">
        <f t="shared" si="19"/>
        <v>696.85967078189287</v>
      </c>
    </row>
    <row r="24" spans="2:12" ht="15.75" x14ac:dyDescent="0.3">
      <c r="B24" s="6" t="s">
        <v>115</v>
      </c>
      <c r="C24" s="59">
        <f>C22/C23</f>
        <v>-7.1511232130701154</v>
      </c>
      <c r="D24" s="59">
        <f t="shared" ref="D24:L24" si="20">D22/D23</f>
        <v>-8.2955118507312164</v>
      </c>
      <c r="E24" s="59">
        <f t="shared" si="20"/>
        <v>-3.6678771871904923</v>
      </c>
      <c r="F24" s="59">
        <f t="shared" si="20"/>
        <v>-18.356778481991036</v>
      </c>
      <c r="G24" s="59">
        <f t="shared" si="20"/>
        <v>2.4874967096604372</v>
      </c>
      <c r="H24" s="86">
        <f t="shared" si="20"/>
        <v>-6.0235669163754233</v>
      </c>
      <c r="I24" s="59">
        <f t="shared" si="20"/>
        <v>-0.24083047203414309</v>
      </c>
      <c r="J24" s="59">
        <f t="shared" si="20"/>
        <v>6.0706603936509264E-3</v>
      </c>
      <c r="K24" s="59">
        <f t="shared" si="20"/>
        <v>9.7463098146234016E-3</v>
      </c>
      <c r="L24" s="59">
        <f t="shared" si="20"/>
        <v>8.2498262339749939E-3</v>
      </c>
    </row>
    <row r="25" spans="2:12" ht="15.75" x14ac:dyDescent="0.3">
      <c r="B25" s="4" t="s">
        <v>120</v>
      </c>
      <c r="C25" s="57">
        <v>587.6</v>
      </c>
      <c r="D25" s="57">
        <v>594.9</v>
      </c>
      <c r="E25" s="57">
        <v>605.79999999999995</v>
      </c>
      <c r="F25" s="57">
        <v>646.9</v>
      </c>
      <c r="G25" s="57">
        <v>762.3</v>
      </c>
      <c r="H25" s="80">
        <f>AVERAGE(E25:G25)</f>
        <v>671.66666666666663</v>
      </c>
      <c r="I25" s="81">
        <f t="shared" ref="I25:L25" si="21">AVERAGE(F25:H25)</f>
        <v>693.62222222222215</v>
      </c>
      <c r="J25" s="81">
        <f t="shared" si="21"/>
        <v>709.19629629629628</v>
      </c>
      <c r="K25" s="81">
        <f t="shared" si="21"/>
        <v>691.49506172839494</v>
      </c>
      <c r="L25" s="81">
        <f t="shared" si="21"/>
        <v>698.10452674897113</v>
      </c>
    </row>
    <row r="26" spans="2:12" ht="15.75" x14ac:dyDescent="0.3">
      <c r="B26" s="26" t="s">
        <v>125</v>
      </c>
      <c r="C26" s="60">
        <f>C22/C25</f>
        <v>-7.1511232130701154</v>
      </c>
      <c r="D26" s="60">
        <f t="shared" ref="D26:L26" si="22">D22/D25</f>
        <v>-8.2955118507312164</v>
      </c>
      <c r="E26" s="60">
        <f t="shared" si="22"/>
        <v>-3.6678771871904923</v>
      </c>
      <c r="F26" s="60">
        <f t="shared" si="22"/>
        <v>-18.356778481991036</v>
      </c>
      <c r="G26" s="60">
        <f t="shared" si="22"/>
        <v>2.4793388429752068</v>
      </c>
      <c r="H26" s="87">
        <f t="shared" si="22"/>
        <v>-6.0160935082905898</v>
      </c>
      <c r="I26" s="60">
        <f t="shared" si="22"/>
        <v>-0.24044468650882647</v>
      </c>
      <c r="J26" s="60">
        <f t="shared" si="22"/>
        <v>6.0579790373035724E-3</v>
      </c>
      <c r="K26" s="60">
        <f t="shared" si="22"/>
        <v>9.7302141896874021E-3</v>
      </c>
      <c r="L26" s="60">
        <f t="shared" si="22"/>
        <v>8.2351151914001105E-3</v>
      </c>
    </row>
    <row r="28" spans="2:12" ht="15.75" x14ac:dyDescent="0.3">
      <c r="B28" s="1" t="s">
        <v>13</v>
      </c>
      <c r="C28" s="2">
        <v>2021</v>
      </c>
      <c r="D28" s="2">
        <f t="shared" ref="D28:E28" si="23">+C28+1</f>
        <v>2022</v>
      </c>
      <c r="E28" s="2">
        <f t="shared" si="23"/>
        <v>2023</v>
      </c>
      <c r="F28" s="2">
        <f t="shared" ref="F28" si="24">+E28+1</f>
        <v>2024</v>
      </c>
      <c r="G28" s="2">
        <f>+F28+1</f>
        <v>2025</v>
      </c>
      <c r="H28" s="2">
        <f t="shared" ref="H28:L28" si="25">+G28+1</f>
        <v>2026</v>
      </c>
      <c r="I28" s="2">
        <f t="shared" si="25"/>
        <v>2027</v>
      </c>
      <c r="J28" s="2">
        <f t="shared" si="25"/>
        <v>2028</v>
      </c>
      <c r="K28" s="2">
        <f t="shared" si="25"/>
        <v>2029</v>
      </c>
      <c r="L28" s="2">
        <f t="shared" si="25"/>
        <v>2030</v>
      </c>
    </row>
    <row r="29" spans="2:12" ht="15.75" x14ac:dyDescent="0.3">
      <c r="B29" s="14" t="s">
        <v>14</v>
      </c>
      <c r="C29" s="5">
        <v>8052</v>
      </c>
      <c r="D29" s="5">
        <v>14614</v>
      </c>
      <c r="E29" s="5">
        <v>12691</v>
      </c>
      <c r="F29" s="5">
        <v>13801</v>
      </c>
      <c r="G29" s="5">
        <v>10921</v>
      </c>
      <c r="H29" s="20"/>
    </row>
    <row r="30" spans="2:12" ht="15.75" x14ac:dyDescent="0.3">
      <c r="B30" s="14" t="s">
        <v>18</v>
      </c>
      <c r="C30" s="5">
        <v>8192</v>
      </c>
      <c r="D30" s="5">
        <v>2606</v>
      </c>
      <c r="E30" s="5">
        <v>3274</v>
      </c>
      <c r="F30" s="5">
        <v>12481</v>
      </c>
      <c r="G30" s="5">
        <v>18479</v>
      </c>
      <c r="H30" s="19"/>
    </row>
    <row r="31" spans="2:12" ht="15.75" x14ac:dyDescent="0.3">
      <c r="B31" s="14" t="s">
        <v>53</v>
      </c>
      <c r="C31" s="5">
        <v>2641</v>
      </c>
      <c r="D31" s="5">
        <v>2517</v>
      </c>
      <c r="E31" s="5">
        <v>2649</v>
      </c>
      <c r="F31" s="5">
        <v>2631</v>
      </c>
      <c r="G31" s="5">
        <v>2921</v>
      </c>
      <c r="H31" s="19"/>
    </row>
    <row r="32" spans="2:12" ht="15.75" x14ac:dyDescent="0.3">
      <c r="B32" s="16" t="s">
        <v>29</v>
      </c>
      <c r="C32" s="18">
        <v>8620</v>
      </c>
      <c r="D32" s="18">
        <v>8634</v>
      </c>
      <c r="E32" s="18">
        <v>8317</v>
      </c>
      <c r="F32" s="18">
        <v>8363</v>
      </c>
      <c r="G32" s="18">
        <v>9158</v>
      </c>
      <c r="H32" s="19"/>
    </row>
    <row r="33" spans="2:12" ht="15.75" x14ac:dyDescent="0.3">
      <c r="B33" s="16" t="s">
        <v>34</v>
      </c>
      <c r="C33" s="18">
        <v>117</v>
      </c>
      <c r="D33" s="18">
        <v>154</v>
      </c>
      <c r="E33" s="18">
        <v>99</v>
      </c>
      <c r="F33" s="18">
        <v>207</v>
      </c>
      <c r="G33" s="18">
        <v>0</v>
      </c>
      <c r="H33" s="19"/>
    </row>
    <row r="34" spans="2:12" ht="15.75" x14ac:dyDescent="0.3">
      <c r="B34" s="14" t="s">
        <v>15</v>
      </c>
      <c r="C34" s="5">
        <v>78823</v>
      </c>
      <c r="D34" s="5">
        <v>78151</v>
      </c>
      <c r="E34" s="5">
        <v>79741</v>
      </c>
      <c r="F34" s="5">
        <v>87550</v>
      </c>
      <c r="G34" s="5">
        <v>84679</v>
      </c>
      <c r="H34" s="19"/>
    </row>
    <row r="35" spans="2:12" ht="15.75" x14ac:dyDescent="0.3">
      <c r="B35" s="14" t="s">
        <v>20</v>
      </c>
      <c r="C35" s="5">
        <v>2221</v>
      </c>
      <c r="D35" s="5">
        <v>2847</v>
      </c>
      <c r="E35" s="5">
        <v>2504</v>
      </c>
      <c r="F35" s="18">
        <v>2965</v>
      </c>
      <c r="G35" s="5">
        <v>2301</v>
      </c>
      <c r="H35" s="19"/>
    </row>
    <row r="36" spans="2:12" ht="15.75" x14ac:dyDescent="0.3">
      <c r="B36" s="6" t="s">
        <v>19</v>
      </c>
      <c r="C36" s="7">
        <f>SUM(C29:C35)</f>
        <v>108666</v>
      </c>
      <c r="D36" s="7">
        <f>SUM(D29:D35)</f>
        <v>109523</v>
      </c>
      <c r="E36" s="7">
        <f>SUM(E29:E35)</f>
        <v>109275</v>
      </c>
      <c r="F36" s="7">
        <f t="shared" ref="F36" si="26">SUM(F29:F35)</f>
        <v>127998</v>
      </c>
      <c r="G36" s="7">
        <f>SUM(G29:G35)</f>
        <v>128459</v>
      </c>
      <c r="H36" s="30"/>
      <c r="I36" s="29"/>
      <c r="J36" s="29"/>
      <c r="K36" s="29"/>
      <c r="L36" s="29"/>
    </row>
    <row r="37" spans="2:12" ht="15.75" x14ac:dyDescent="0.3">
      <c r="B37" s="16" t="s">
        <v>129</v>
      </c>
      <c r="C37" s="18">
        <v>1695</v>
      </c>
      <c r="D37" s="18">
        <v>1450</v>
      </c>
      <c r="E37" s="18">
        <v>860</v>
      </c>
      <c r="F37" s="18">
        <v>314</v>
      </c>
      <c r="G37" s="18">
        <v>241</v>
      </c>
      <c r="H37" s="19"/>
    </row>
    <row r="38" spans="2:12" ht="15.75" x14ac:dyDescent="0.3">
      <c r="B38" s="14" t="s">
        <v>16</v>
      </c>
      <c r="C38" s="5">
        <v>10918</v>
      </c>
      <c r="D38" s="5">
        <v>10550</v>
      </c>
      <c r="E38" s="5">
        <v>10661</v>
      </c>
      <c r="F38" s="5">
        <v>11412</v>
      </c>
      <c r="G38" s="5">
        <v>15361</v>
      </c>
      <c r="H38" s="19"/>
    </row>
    <row r="39" spans="2:12" ht="15.75" x14ac:dyDescent="0.3">
      <c r="B39" s="14" t="s">
        <v>30</v>
      </c>
      <c r="C39" s="5">
        <v>8068</v>
      </c>
      <c r="D39" s="5">
        <v>8057</v>
      </c>
      <c r="E39" s="5">
        <v>8093</v>
      </c>
      <c r="F39" s="5">
        <v>8084</v>
      </c>
      <c r="G39" s="18">
        <v>17275</v>
      </c>
      <c r="H39" s="19"/>
    </row>
    <row r="40" spans="2:12" ht="15.75" x14ac:dyDescent="0.3">
      <c r="B40" s="14" t="s">
        <v>31</v>
      </c>
      <c r="C40" s="5">
        <v>2562</v>
      </c>
      <c r="D40" s="5">
        <v>2311</v>
      </c>
      <c r="E40" s="5">
        <v>2094</v>
      </c>
      <c r="F40" s="5">
        <v>1957</v>
      </c>
      <c r="G40" s="5">
        <v>1567</v>
      </c>
      <c r="H40" s="19"/>
    </row>
    <row r="41" spans="2:12" ht="15.75" x14ac:dyDescent="0.3">
      <c r="B41" s="16" t="s">
        <v>32</v>
      </c>
      <c r="C41" s="18">
        <v>77</v>
      </c>
      <c r="D41" s="18">
        <v>63</v>
      </c>
      <c r="E41" s="18">
        <v>59</v>
      </c>
      <c r="F41" s="18">
        <v>185</v>
      </c>
      <c r="G41" s="18">
        <v>107</v>
      </c>
      <c r="H41" s="19"/>
    </row>
    <row r="42" spans="2:12" ht="15.75" x14ac:dyDescent="0.3">
      <c r="B42" s="16" t="s">
        <v>33</v>
      </c>
      <c r="C42" s="18">
        <v>975</v>
      </c>
      <c r="D42" s="18">
        <v>983</v>
      </c>
      <c r="E42" s="18">
        <v>1035</v>
      </c>
      <c r="F42" s="18">
        <v>999</v>
      </c>
      <c r="G42" s="18">
        <v>1048</v>
      </c>
      <c r="H42" s="19"/>
    </row>
    <row r="43" spans="2:12" ht="15.75" x14ac:dyDescent="0.3">
      <c r="B43" s="16" t="s">
        <v>20</v>
      </c>
      <c r="C43" s="18">
        <v>5591</v>
      </c>
      <c r="D43" s="18">
        <v>4163</v>
      </c>
      <c r="E43" s="18">
        <v>4935</v>
      </c>
      <c r="F43" s="18">
        <v>5414</v>
      </c>
      <c r="G43" s="18">
        <v>4177</v>
      </c>
      <c r="H43" s="19"/>
    </row>
    <row r="44" spans="2:12" ht="15.75" x14ac:dyDescent="0.3">
      <c r="B44" s="26" t="s">
        <v>21</v>
      </c>
      <c r="C44" s="27">
        <f>SUM(C36:C43)</f>
        <v>138552</v>
      </c>
      <c r="D44" s="27">
        <f t="shared" ref="D44:G44" si="27">SUM(D36:D43)</f>
        <v>137100</v>
      </c>
      <c r="E44" s="27">
        <f t="shared" si="27"/>
        <v>137012</v>
      </c>
      <c r="F44" s="27">
        <f t="shared" si="27"/>
        <v>156363</v>
      </c>
      <c r="G44" s="28">
        <f t="shared" si="27"/>
        <v>168235</v>
      </c>
      <c r="H44" s="31"/>
      <c r="I44" s="32"/>
      <c r="J44" s="32"/>
      <c r="K44" s="32"/>
      <c r="L44" s="32"/>
    </row>
    <row r="45" spans="2:12" ht="15.75" x14ac:dyDescent="0.3">
      <c r="B45" s="10" t="s">
        <v>17</v>
      </c>
      <c r="C45" s="18">
        <v>9261</v>
      </c>
      <c r="D45" s="18">
        <v>10200</v>
      </c>
      <c r="E45" s="18">
        <v>11964</v>
      </c>
      <c r="F45" s="18">
        <v>11364</v>
      </c>
      <c r="G45" s="18">
        <v>13109</v>
      </c>
      <c r="H45" s="19"/>
    </row>
    <row r="46" spans="2:12" ht="15.75" x14ac:dyDescent="0.3">
      <c r="B46" s="16" t="s">
        <v>35</v>
      </c>
      <c r="C46" s="18">
        <v>18455</v>
      </c>
      <c r="D46" s="18">
        <v>21581</v>
      </c>
      <c r="E46" s="18">
        <v>22331</v>
      </c>
      <c r="F46" s="18">
        <v>24103</v>
      </c>
      <c r="G46" s="18">
        <v>27141</v>
      </c>
      <c r="H46" s="19"/>
    </row>
    <row r="47" spans="2:12" ht="15.75" x14ac:dyDescent="0.3">
      <c r="B47" s="16" t="s">
        <v>36</v>
      </c>
      <c r="C47" s="18">
        <v>52980</v>
      </c>
      <c r="D47" s="18">
        <v>53081</v>
      </c>
      <c r="E47" s="18">
        <v>56328</v>
      </c>
      <c r="F47" s="18">
        <v>60333</v>
      </c>
      <c r="G47" s="18">
        <v>59404</v>
      </c>
      <c r="H47" s="19"/>
    </row>
    <row r="48" spans="2:12" ht="15.75" x14ac:dyDescent="0.3">
      <c r="B48" s="16" t="s">
        <v>37</v>
      </c>
      <c r="C48" s="18">
        <v>1296</v>
      </c>
      <c r="D48" s="18">
        <v>5190</v>
      </c>
      <c r="E48" s="18">
        <v>5204</v>
      </c>
      <c r="F48" s="18">
        <v>1278</v>
      </c>
      <c r="G48" s="18">
        <v>8461</v>
      </c>
      <c r="H48" s="19"/>
    </row>
    <row r="49" spans="2:12" ht="15.75" x14ac:dyDescent="0.3">
      <c r="B49" s="6" t="s">
        <v>24</v>
      </c>
      <c r="C49" s="7">
        <f t="shared" ref="C49:F49" si="28">SUM(C45:C48)</f>
        <v>81992</v>
      </c>
      <c r="D49" s="7">
        <f t="shared" si="28"/>
        <v>90052</v>
      </c>
      <c r="E49" s="7">
        <f t="shared" si="28"/>
        <v>95827</v>
      </c>
      <c r="F49" s="7">
        <f t="shared" si="28"/>
        <v>97078</v>
      </c>
      <c r="G49" s="7">
        <f>SUM(G45:G48)</f>
        <v>108115</v>
      </c>
      <c r="H49" s="30"/>
      <c r="I49" s="29"/>
      <c r="J49" s="29"/>
      <c r="K49" s="29"/>
      <c r="L49" s="29"/>
    </row>
    <row r="50" spans="2:12" ht="15.75" x14ac:dyDescent="0.3">
      <c r="B50" s="16" t="s">
        <v>32</v>
      </c>
      <c r="C50" s="18">
        <v>218</v>
      </c>
      <c r="D50" s="18">
        <v>230</v>
      </c>
      <c r="E50" s="18">
        <v>229</v>
      </c>
      <c r="F50" s="18">
        <v>122</v>
      </c>
      <c r="G50" s="18">
        <v>216</v>
      </c>
      <c r="H50" s="19"/>
    </row>
    <row r="51" spans="2:12" ht="15.75" x14ac:dyDescent="0.3">
      <c r="B51" s="10" t="s">
        <v>38</v>
      </c>
      <c r="C51" s="18">
        <v>3528</v>
      </c>
      <c r="D51" s="18">
        <v>2503</v>
      </c>
      <c r="E51" s="18">
        <v>2233</v>
      </c>
      <c r="F51" s="18">
        <v>2176</v>
      </c>
      <c r="G51" s="18">
        <v>2091</v>
      </c>
      <c r="H51" s="19"/>
    </row>
    <row r="52" spans="2:12" ht="15.75" x14ac:dyDescent="0.3">
      <c r="B52" s="10" t="s">
        <v>39</v>
      </c>
      <c r="C52" s="18">
        <v>9104</v>
      </c>
      <c r="D52" s="18">
        <v>6141</v>
      </c>
      <c r="E52" s="18">
        <v>6516</v>
      </c>
      <c r="F52" s="18">
        <v>5997</v>
      </c>
      <c r="G52" s="18">
        <v>4287</v>
      </c>
      <c r="H52" s="19"/>
    </row>
    <row r="53" spans="2:12" ht="15.75" x14ac:dyDescent="0.3">
      <c r="B53" s="10" t="s">
        <v>40</v>
      </c>
      <c r="C53" s="18">
        <v>1750</v>
      </c>
      <c r="D53" s="18">
        <v>2211</v>
      </c>
      <c r="E53" s="18">
        <v>2332</v>
      </c>
      <c r="F53" s="18">
        <v>2318</v>
      </c>
      <c r="G53" s="18">
        <v>2432</v>
      </c>
      <c r="H53" s="19"/>
    </row>
    <row r="54" spans="2:12" ht="15.75" x14ac:dyDescent="0.3">
      <c r="B54" s="10" t="s">
        <v>22</v>
      </c>
      <c r="C54" s="18">
        <v>56806</v>
      </c>
      <c r="D54" s="18">
        <v>51811</v>
      </c>
      <c r="E54" s="18">
        <v>47103</v>
      </c>
      <c r="F54" s="18">
        <v>52586</v>
      </c>
      <c r="G54" s="18">
        <v>45637</v>
      </c>
      <c r="H54" s="19"/>
    </row>
    <row r="55" spans="2:12" ht="15.75" x14ac:dyDescent="0.3">
      <c r="B55" s="26" t="s">
        <v>23</v>
      </c>
      <c r="C55" s="27">
        <f t="shared" ref="C55:E55" si="29">SUM(C49:C54)</f>
        <v>153398</v>
      </c>
      <c r="D55" s="27">
        <f t="shared" si="29"/>
        <v>152948</v>
      </c>
      <c r="E55" s="27">
        <f t="shared" si="29"/>
        <v>154240</v>
      </c>
      <c r="F55" s="27">
        <f>SUM(F49:F54)</f>
        <v>160277</v>
      </c>
      <c r="G55" s="28">
        <f>SUM(G49:G54)</f>
        <v>162778</v>
      </c>
      <c r="H55" s="31"/>
      <c r="I55" s="32"/>
      <c r="J55" s="32"/>
      <c r="K55" s="32"/>
      <c r="L55" s="32"/>
    </row>
    <row r="56" spans="2:12" ht="15.75" x14ac:dyDescent="0.3">
      <c r="B56" s="10" t="s">
        <v>41</v>
      </c>
      <c r="C56" s="18">
        <v>5061</v>
      </c>
      <c r="D56" s="5">
        <v>5061</v>
      </c>
      <c r="E56" s="5">
        <v>5061</v>
      </c>
      <c r="F56" s="5">
        <v>5061</v>
      </c>
      <c r="G56" s="18">
        <v>5061</v>
      </c>
      <c r="H56" s="19"/>
    </row>
    <row r="57" spans="2:12" ht="15.75" x14ac:dyDescent="0.3">
      <c r="B57" s="10" t="s">
        <v>25</v>
      </c>
      <c r="C57" s="5">
        <v>9052</v>
      </c>
      <c r="D57" s="5">
        <v>9947</v>
      </c>
      <c r="E57" s="5">
        <v>10309</v>
      </c>
      <c r="F57" s="5">
        <v>18964</v>
      </c>
      <c r="G57" s="5">
        <v>21441</v>
      </c>
      <c r="H57" s="19"/>
    </row>
    <row r="58" spans="2:12" ht="15.75" x14ac:dyDescent="0.3">
      <c r="B58" s="10" t="s">
        <v>26</v>
      </c>
      <c r="C58" s="5">
        <v>-51861</v>
      </c>
      <c r="D58" s="5">
        <v>-50814</v>
      </c>
      <c r="E58" s="5">
        <v>-49549</v>
      </c>
      <c r="F58" s="5">
        <v>-32386</v>
      </c>
      <c r="G58" s="5">
        <v>-28029</v>
      </c>
      <c r="H58" s="19"/>
    </row>
    <row r="59" spans="2:12" ht="15.75" x14ac:dyDescent="0.3">
      <c r="B59" s="10" t="s">
        <v>27</v>
      </c>
      <c r="C59" s="5">
        <v>34408</v>
      </c>
      <c r="D59" s="5">
        <v>29473</v>
      </c>
      <c r="E59" s="5">
        <v>27251</v>
      </c>
      <c r="F59" s="5">
        <v>15362</v>
      </c>
      <c r="G59" s="5">
        <v>17252</v>
      </c>
      <c r="H59" s="19"/>
    </row>
    <row r="60" spans="2:12" ht="15.75" x14ac:dyDescent="0.3">
      <c r="B60" s="10" t="s">
        <v>42</v>
      </c>
      <c r="C60" s="18">
        <v>-11659</v>
      </c>
      <c r="D60" s="18">
        <v>-9550</v>
      </c>
      <c r="E60" s="18">
        <v>-10305</v>
      </c>
      <c r="F60" s="18">
        <v>-10915</v>
      </c>
      <c r="G60" s="18">
        <v>-10277</v>
      </c>
      <c r="H60" s="19"/>
    </row>
    <row r="61" spans="2:12" ht="15.75" x14ac:dyDescent="0.3">
      <c r="B61" s="6" t="s">
        <v>43</v>
      </c>
      <c r="C61" s="7">
        <f>SUM(C56:C60)</f>
        <v>-14999</v>
      </c>
      <c r="D61" s="7">
        <f>SUM(D56:D60)</f>
        <v>-15883</v>
      </c>
      <c r="E61" s="7">
        <f>SUM(E56:E60)</f>
        <v>-17233</v>
      </c>
      <c r="F61" s="7">
        <f>SUM(F56:F60)</f>
        <v>-3914</v>
      </c>
      <c r="G61" s="7">
        <f>SUM(G56:G60)</f>
        <v>5448</v>
      </c>
      <c r="H61" s="30"/>
      <c r="I61" s="29"/>
      <c r="J61" s="29"/>
      <c r="K61" s="29"/>
      <c r="L61" s="29"/>
    </row>
    <row r="62" spans="2:12" ht="15.75" x14ac:dyDescent="0.3">
      <c r="B62" s="4" t="s">
        <v>46</v>
      </c>
      <c r="C62" s="5">
        <v>0</v>
      </c>
      <c r="D62" s="5">
        <v>0</v>
      </c>
      <c r="E62" s="5">
        <v>0</v>
      </c>
      <c r="F62" s="5">
        <v>6</v>
      </c>
      <c r="G62" s="5">
        <v>6</v>
      </c>
      <c r="H62" s="19"/>
    </row>
    <row r="63" spans="2:12" ht="15.75" x14ac:dyDescent="0.3">
      <c r="B63" s="10" t="s">
        <v>44</v>
      </c>
      <c r="C63" s="18">
        <v>153</v>
      </c>
      <c r="D63" s="18">
        <v>35</v>
      </c>
      <c r="E63" s="18">
        <v>5</v>
      </c>
      <c r="F63" s="18">
        <v>-6</v>
      </c>
      <c r="G63" s="18">
        <v>3</v>
      </c>
      <c r="H63" s="19"/>
    </row>
    <row r="64" spans="2:12" ht="15.75" x14ac:dyDescent="0.3">
      <c r="B64" s="26" t="s">
        <v>28</v>
      </c>
      <c r="C64" s="27">
        <f>SUM(C61:C63)</f>
        <v>-14846</v>
      </c>
      <c r="D64" s="27">
        <f t="shared" ref="D64:G64" si="30">SUM(D61:D63)</f>
        <v>-15848</v>
      </c>
      <c r="E64" s="27">
        <f t="shared" si="30"/>
        <v>-17228</v>
      </c>
      <c r="F64" s="27">
        <f t="shared" si="30"/>
        <v>-3914</v>
      </c>
      <c r="G64" s="28">
        <f t="shared" si="30"/>
        <v>5457</v>
      </c>
      <c r="H64" s="31"/>
      <c r="I64" s="32"/>
      <c r="J64" s="32"/>
      <c r="K64" s="32"/>
      <c r="L64" s="32"/>
    </row>
    <row r="65" spans="2:12" ht="16.5" thickBot="1" x14ac:dyDescent="0.35">
      <c r="B65" s="12" t="s">
        <v>45</v>
      </c>
      <c r="C65" s="13">
        <f>SUM(C55+C64)</f>
        <v>138552</v>
      </c>
      <c r="D65" s="13">
        <f>SUM(D55+D64)</f>
        <v>137100</v>
      </c>
      <c r="E65" s="13">
        <f>SUM(E55+E64)</f>
        <v>137012</v>
      </c>
      <c r="F65" s="13">
        <f>SUM(F55+F64)</f>
        <v>156363</v>
      </c>
      <c r="G65" s="21">
        <f>SUM(G55+G64)</f>
        <v>168235</v>
      </c>
      <c r="H65" s="22"/>
      <c r="I65" s="23"/>
      <c r="J65" s="23"/>
      <c r="K65" s="23"/>
      <c r="L65" s="23"/>
    </row>
    <row r="66" spans="2:12" ht="16.5" thickTop="1" x14ac:dyDescent="0.3">
      <c r="B66" s="16" t="s">
        <v>118</v>
      </c>
      <c r="C66" s="45" t="str">
        <f>IF(C65=C44, "✓", "✗")</f>
        <v>✓</v>
      </c>
      <c r="D66" s="45" t="str">
        <f t="shared" ref="D66:G66" si="31">IF(D65=D44, "✓", "✗")</f>
        <v>✓</v>
      </c>
      <c r="E66" s="45" t="str">
        <f t="shared" si="31"/>
        <v>✓</v>
      </c>
      <c r="F66" s="45" t="str">
        <f t="shared" si="31"/>
        <v>✓</v>
      </c>
      <c r="G66" s="45" t="str">
        <f t="shared" si="31"/>
        <v>✓</v>
      </c>
    </row>
    <row r="67" spans="2:12" ht="15.75" x14ac:dyDescent="0.3">
      <c r="B67" s="10"/>
    </row>
    <row r="68" spans="2:12" ht="15.75" x14ac:dyDescent="0.3">
      <c r="B68" s="1" t="s">
        <v>49</v>
      </c>
      <c r="C68" s="2">
        <v>2021</v>
      </c>
      <c r="D68" s="2">
        <f t="shared" ref="D68" si="32">+C68+1</f>
        <v>2022</v>
      </c>
      <c r="E68" s="2">
        <f t="shared" ref="E68" si="33">+D68+1</f>
        <v>2023</v>
      </c>
      <c r="F68" s="2">
        <f t="shared" ref="F68" si="34">+E68+1</f>
        <v>2024</v>
      </c>
      <c r="G68" s="2">
        <f>+F68+1</f>
        <v>2025</v>
      </c>
      <c r="H68" s="2">
        <f t="shared" ref="H68" si="35">+G68+1</f>
        <v>2026</v>
      </c>
      <c r="I68" s="2">
        <f t="shared" ref="I68" si="36">+H68+1</f>
        <v>2027</v>
      </c>
      <c r="J68" s="2">
        <f t="shared" ref="J68" si="37">+I68+1</f>
        <v>2028</v>
      </c>
      <c r="K68" s="2">
        <f t="shared" ref="K68" si="38">+J68+1</f>
        <v>2029</v>
      </c>
      <c r="L68" s="2">
        <f t="shared" ref="L68" si="39">+K68+1</f>
        <v>2030</v>
      </c>
    </row>
    <row r="69" spans="2:12" ht="15.75" x14ac:dyDescent="0.3">
      <c r="B69" s="14" t="s">
        <v>50</v>
      </c>
      <c r="C69" s="5">
        <f>C18</f>
        <v>-4290</v>
      </c>
      <c r="D69" s="5">
        <f>D18</f>
        <v>-5053</v>
      </c>
      <c r="E69" s="5">
        <f>E18</f>
        <v>-2242</v>
      </c>
      <c r="F69" s="5">
        <f>F18</f>
        <v>-11829</v>
      </c>
      <c r="G69" s="5">
        <f>G18</f>
        <v>2238</v>
      </c>
      <c r="H69" s="19"/>
    </row>
    <row r="70" spans="2:12" ht="15.75" x14ac:dyDescent="0.3">
      <c r="B70" s="14" t="s">
        <v>61</v>
      </c>
      <c r="C70" s="5">
        <v>833</v>
      </c>
      <c r="D70" s="5">
        <v>725</v>
      </c>
      <c r="E70" s="5">
        <v>690</v>
      </c>
      <c r="F70" s="5">
        <v>407</v>
      </c>
      <c r="G70" s="5">
        <v>426</v>
      </c>
      <c r="H70" s="19"/>
    </row>
    <row r="71" spans="2:12" ht="15.75" x14ac:dyDescent="0.3">
      <c r="B71" s="14" t="s">
        <v>62</v>
      </c>
      <c r="C71" s="5">
        <v>1233</v>
      </c>
      <c r="D71" s="5">
        <v>1215</v>
      </c>
      <c r="E71" s="5">
        <v>1515</v>
      </c>
      <c r="F71" s="5">
        <v>1601</v>
      </c>
      <c r="G71" s="5">
        <v>1530</v>
      </c>
      <c r="H71" s="19"/>
    </row>
    <row r="72" spans="2:12" ht="15.75" x14ac:dyDescent="0.3">
      <c r="B72" s="14" t="s">
        <v>127</v>
      </c>
      <c r="C72" s="5">
        <v>2144</v>
      </c>
      <c r="D72" s="5">
        <v>1979</v>
      </c>
      <c r="E72" s="5">
        <v>1861</v>
      </c>
      <c r="F72" s="5">
        <v>1836</v>
      </c>
      <c r="G72" s="5">
        <v>1953</v>
      </c>
      <c r="H72" s="19"/>
    </row>
    <row r="73" spans="2:12" ht="15.75" x14ac:dyDescent="0.3">
      <c r="B73" s="14" t="s">
        <v>83</v>
      </c>
      <c r="C73" s="5">
        <v>98</v>
      </c>
      <c r="D73" s="5">
        <v>112</v>
      </c>
      <c r="E73" s="5">
        <v>46</v>
      </c>
      <c r="F73" s="5">
        <v>112</v>
      </c>
      <c r="G73" s="5">
        <v>45</v>
      </c>
      <c r="H73" s="19"/>
    </row>
    <row r="74" spans="2:12" ht="15.75" x14ac:dyDescent="0.3">
      <c r="B74" s="14" t="s">
        <v>84</v>
      </c>
      <c r="C74" s="5">
        <v>0</v>
      </c>
      <c r="D74" s="5">
        <v>37</v>
      </c>
      <c r="E74" s="5">
        <v>0</v>
      </c>
      <c r="F74" s="5">
        <v>0</v>
      </c>
      <c r="G74" s="5">
        <v>0</v>
      </c>
      <c r="H74" s="19"/>
    </row>
    <row r="75" spans="2:12" ht="15.75" x14ac:dyDescent="0.3">
      <c r="B75" s="16" t="s">
        <v>47</v>
      </c>
      <c r="C75" s="5">
        <v>-277</v>
      </c>
      <c r="D75" s="5">
        <v>-6</v>
      </c>
      <c r="E75" s="5">
        <v>-2</v>
      </c>
      <c r="F75" s="5">
        <v>-46</v>
      </c>
      <c r="G75" s="5">
        <v>-9672</v>
      </c>
      <c r="H75" s="19"/>
    </row>
    <row r="76" spans="2:12" ht="15.75" x14ac:dyDescent="0.3">
      <c r="B76" s="14" t="s">
        <v>63</v>
      </c>
      <c r="C76" s="5">
        <v>3460</v>
      </c>
      <c r="D76" s="5">
        <v>0</v>
      </c>
      <c r="E76" s="5">
        <v>0</v>
      </c>
      <c r="F76" s="5">
        <v>4079</v>
      </c>
      <c r="G76" s="5">
        <v>5283</v>
      </c>
      <c r="H76" s="19"/>
    </row>
    <row r="77" spans="2:12" ht="15.75" x14ac:dyDescent="0.3">
      <c r="B77" s="16" t="s">
        <v>64</v>
      </c>
      <c r="C77" s="5">
        <v>360</v>
      </c>
      <c r="D77" s="5">
        <v>364</v>
      </c>
      <c r="E77" s="5">
        <v>3</v>
      </c>
      <c r="F77" s="5">
        <v>528</v>
      </c>
      <c r="G77" s="5">
        <v>264</v>
      </c>
      <c r="H77" s="19"/>
    </row>
    <row r="78" spans="2:12" ht="15.75" x14ac:dyDescent="0.3">
      <c r="B78" s="36" t="s">
        <v>52</v>
      </c>
      <c r="C78" s="29"/>
      <c r="D78" s="29"/>
      <c r="E78" s="29"/>
      <c r="F78" s="29"/>
      <c r="G78" s="37"/>
    </row>
    <row r="79" spans="2:12" ht="15.75" x14ac:dyDescent="0.3">
      <c r="B79" s="14" t="s">
        <v>53</v>
      </c>
      <c r="C79" s="18">
        <v>-713</v>
      </c>
      <c r="D79" s="18">
        <v>142</v>
      </c>
      <c r="E79" s="18">
        <v>-128</v>
      </c>
      <c r="F79" s="18">
        <v>-37</v>
      </c>
      <c r="G79" s="39">
        <v>-95</v>
      </c>
    </row>
    <row r="80" spans="2:12" ht="15.75" x14ac:dyDescent="0.3">
      <c r="B80" s="14" t="s">
        <v>29</v>
      </c>
      <c r="C80" s="18">
        <v>-586</v>
      </c>
      <c r="D80" s="18">
        <v>6</v>
      </c>
      <c r="E80" s="18">
        <v>321</v>
      </c>
      <c r="F80" s="18">
        <v>-60</v>
      </c>
      <c r="G80" s="39">
        <v>-677</v>
      </c>
    </row>
    <row r="81" spans="2:7" ht="15.75" x14ac:dyDescent="0.3">
      <c r="B81" s="14" t="s">
        <v>54</v>
      </c>
      <c r="C81" s="18">
        <v>2505</v>
      </c>
      <c r="D81" s="18">
        <v>108</v>
      </c>
      <c r="E81" s="18">
        <v>3365</v>
      </c>
      <c r="F81" s="18">
        <v>4069</v>
      </c>
      <c r="G81" s="39">
        <v>-723</v>
      </c>
    </row>
    <row r="82" spans="2:7" ht="15.75" x14ac:dyDescent="0.3">
      <c r="B82" s="14" t="s">
        <v>55</v>
      </c>
      <c r="C82" s="18">
        <v>-1127</v>
      </c>
      <c r="D82" s="18">
        <v>420</v>
      </c>
      <c r="E82" s="18">
        <v>-1681</v>
      </c>
      <c r="F82" s="18">
        <v>-12353</v>
      </c>
      <c r="G82" s="39">
        <v>-1501</v>
      </c>
    </row>
    <row r="83" spans="2:7" ht="15.75" x14ac:dyDescent="0.3">
      <c r="B83" s="14" t="s">
        <v>20</v>
      </c>
      <c r="C83" s="18">
        <v>345</v>
      </c>
      <c r="D83" s="18">
        <v>-591</v>
      </c>
      <c r="E83" s="18">
        <v>389</v>
      </c>
      <c r="F83" s="18">
        <v>-16</v>
      </c>
      <c r="G83" s="39">
        <v>155</v>
      </c>
    </row>
    <row r="84" spans="2:7" ht="15.75" x14ac:dyDescent="0.3">
      <c r="B84" s="14" t="s">
        <v>17</v>
      </c>
      <c r="C84" s="18">
        <v>-3783</v>
      </c>
      <c r="D84" s="18">
        <v>838</v>
      </c>
      <c r="E84" s="18">
        <v>1672</v>
      </c>
      <c r="F84" s="18">
        <v>-793</v>
      </c>
      <c r="G84" s="39">
        <v>724</v>
      </c>
    </row>
    <row r="85" spans="2:7" ht="15.75" x14ac:dyDescent="0.3">
      <c r="B85" s="14" t="s">
        <v>35</v>
      </c>
      <c r="C85" s="18">
        <v>-3687</v>
      </c>
      <c r="D85" s="18">
        <v>2956</v>
      </c>
      <c r="E85" s="18">
        <v>779</v>
      </c>
      <c r="F85" s="18">
        <v>1563</v>
      </c>
      <c r="G85" s="39">
        <v>1341</v>
      </c>
    </row>
    <row r="86" spans="2:7" ht="15.75" x14ac:dyDescent="0.3">
      <c r="B86" s="14" t="s">
        <v>65</v>
      </c>
      <c r="C86" s="18">
        <v>733</v>
      </c>
      <c r="D86" s="18">
        <v>1347</v>
      </c>
      <c r="E86" s="18">
        <v>44</v>
      </c>
      <c r="F86" s="18">
        <v>-567</v>
      </c>
      <c r="G86" s="39">
        <v>115</v>
      </c>
    </row>
    <row r="87" spans="2:7" ht="15.75" x14ac:dyDescent="0.3">
      <c r="B87" s="14" t="s">
        <v>40</v>
      </c>
      <c r="C87" s="18">
        <v>-206</v>
      </c>
      <c r="D87" s="18">
        <v>-158</v>
      </c>
      <c r="E87" s="18">
        <v>-313</v>
      </c>
      <c r="F87" s="18">
        <v>-329</v>
      </c>
      <c r="G87" s="39">
        <v>-346</v>
      </c>
    </row>
    <row r="88" spans="2:7" ht="15.75" x14ac:dyDescent="0.3">
      <c r="B88" s="14" t="s">
        <v>66</v>
      </c>
      <c r="C88" s="18">
        <v>-972</v>
      </c>
      <c r="D88" s="18">
        <v>-1378</v>
      </c>
      <c r="E88" s="18">
        <v>-1049</v>
      </c>
      <c r="F88" s="18">
        <v>-959</v>
      </c>
      <c r="G88" s="39">
        <v>-593</v>
      </c>
    </row>
    <row r="89" spans="2:7" ht="15.75" x14ac:dyDescent="0.3">
      <c r="B89" s="14" t="s">
        <v>128</v>
      </c>
      <c r="C89" s="18">
        <v>210</v>
      </c>
      <c r="D89" s="18">
        <v>142</v>
      </c>
      <c r="E89" s="18">
        <v>571</v>
      </c>
      <c r="F89" s="18">
        <v>512</v>
      </c>
      <c r="G89" s="39">
        <v>274</v>
      </c>
    </row>
    <row r="90" spans="2:7" ht="15.75" x14ac:dyDescent="0.3">
      <c r="B90" s="14" t="s">
        <v>67</v>
      </c>
      <c r="C90" s="18">
        <v>304</v>
      </c>
      <c r="D90" s="18">
        <v>307</v>
      </c>
      <c r="E90" s="18">
        <v>119</v>
      </c>
      <c r="F90" s="18">
        <v>202</v>
      </c>
      <c r="G90" s="39">
        <v>324</v>
      </c>
    </row>
    <row r="91" spans="2:7" ht="15.75" x14ac:dyDescent="0.3">
      <c r="B91" s="35" t="s">
        <v>56</v>
      </c>
      <c r="C91" s="27">
        <f>SUM(C69:C90)</f>
        <v>-3416</v>
      </c>
      <c r="D91" s="27">
        <f>SUM(D69:D90)</f>
        <v>3512</v>
      </c>
      <c r="E91" s="27">
        <f>SUM(E69:E90)</f>
        <v>5960</v>
      </c>
      <c r="F91" s="27">
        <f>SUM(F69:F90)</f>
        <v>-12080</v>
      </c>
      <c r="G91" s="28">
        <f>SUM(G69:G90)</f>
        <v>1065</v>
      </c>
    </row>
    <row r="92" spans="2:7" ht="15.75" x14ac:dyDescent="0.3">
      <c r="B92" s="14" t="s">
        <v>116</v>
      </c>
      <c r="C92" s="18">
        <v>-980</v>
      </c>
      <c r="D92" s="18">
        <v>-1222</v>
      </c>
      <c r="E92" s="18">
        <v>-1527</v>
      </c>
      <c r="F92" s="18">
        <v>-2230</v>
      </c>
      <c r="G92" s="40">
        <v>-2942</v>
      </c>
    </row>
    <row r="93" spans="2:7" ht="15.75" x14ac:dyDescent="0.3">
      <c r="B93" s="14" t="s">
        <v>68</v>
      </c>
      <c r="C93" s="18">
        <v>529</v>
      </c>
      <c r="D93" s="18">
        <v>35</v>
      </c>
      <c r="E93" s="18">
        <v>27</v>
      </c>
      <c r="F93" s="18">
        <v>49</v>
      </c>
      <c r="G93" s="39">
        <v>82</v>
      </c>
    </row>
    <row r="94" spans="2:7" ht="15.75" x14ac:dyDescent="0.3">
      <c r="B94" s="14" t="s">
        <v>71</v>
      </c>
      <c r="C94" s="18">
        <v>-6</v>
      </c>
      <c r="D94" s="18">
        <v>0</v>
      </c>
      <c r="E94" s="18">
        <v>-70</v>
      </c>
      <c r="F94" s="18">
        <v>-50</v>
      </c>
      <c r="G94" s="39">
        <v>-1248</v>
      </c>
    </row>
    <row r="95" spans="2:7" ht="15.75" x14ac:dyDescent="0.3">
      <c r="B95" s="14" t="s">
        <v>70</v>
      </c>
      <c r="C95" s="18">
        <v>0</v>
      </c>
      <c r="D95" s="18">
        <v>0</v>
      </c>
      <c r="E95" s="18">
        <v>0</v>
      </c>
      <c r="F95" s="18">
        <v>124</v>
      </c>
      <c r="G95" s="39">
        <v>10585</v>
      </c>
    </row>
    <row r="96" spans="2:7" ht="15.75" x14ac:dyDescent="0.3">
      <c r="B96" s="14" t="s">
        <v>69</v>
      </c>
      <c r="C96" s="18">
        <v>-35713</v>
      </c>
      <c r="D96" s="18">
        <v>-5051</v>
      </c>
      <c r="E96" s="18">
        <v>-16448</v>
      </c>
      <c r="F96" s="18">
        <v>-13856</v>
      </c>
      <c r="G96" s="39">
        <v>-51938</v>
      </c>
    </row>
    <row r="97" spans="2:7" ht="15.75" x14ac:dyDescent="0.3">
      <c r="B97" s="14" t="s">
        <v>72</v>
      </c>
      <c r="C97" s="18">
        <v>45489</v>
      </c>
      <c r="D97" s="18">
        <v>10619</v>
      </c>
      <c r="E97" s="18">
        <v>15739</v>
      </c>
      <c r="F97" s="18">
        <v>4743</v>
      </c>
      <c r="G97" s="39">
        <v>46628</v>
      </c>
    </row>
    <row r="98" spans="2:7" ht="15.75" x14ac:dyDescent="0.3">
      <c r="B98" s="14" t="s">
        <v>73</v>
      </c>
      <c r="C98" s="18">
        <v>0</v>
      </c>
      <c r="D98" s="18">
        <v>0</v>
      </c>
      <c r="E98" s="18">
        <f>-162</f>
        <v>-162</v>
      </c>
      <c r="F98" s="18">
        <v>-694</v>
      </c>
      <c r="G98" s="39">
        <v>-662</v>
      </c>
    </row>
    <row r="99" spans="2:7" ht="15.75" x14ac:dyDescent="0.3">
      <c r="B99" s="14" t="s">
        <v>74</v>
      </c>
      <c r="C99" s="18">
        <v>0</v>
      </c>
      <c r="D99" s="18">
        <v>0</v>
      </c>
      <c r="E99" s="18"/>
      <c r="F99" s="18">
        <v>40</v>
      </c>
      <c r="G99" s="39">
        <v>2</v>
      </c>
    </row>
    <row r="100" spans="2:7" ht="15.75" x14ac:dyDescent="0.3">
      <c r="B100" s="16" t="s">
        <v>75</v>
      </c>
      <c r="C100" s="18">
        <v>0</v>
      </c>
      <c r="D100" s="18">
        <v>0</v>
      </c>
      <c r="E100" s="18"/>
      <c r="F100" s="18">
        <v>-88</v>
      </c>
      <c r="G100" s="39">
        <v>-9</v>
      </c>
    </row>
    <row r="101" spans="2:7" ht="15.75" x14ac:dyDescent="0.3">
      <c r="B101" s="16" t="s">
        <v>76</v>
      </c>
      <c r="C101" s="18">
        <v>5</v>
      </c>
      <c r="D101" s="18">
        <v>-11</v>
      </c>
      <c r="E101" s="18">
        <v>4</v>
      </c>
      <c r="F101" s="18">
        <v>-11</v>
      </c>
      <c r="G101" s="41">
        <v>1</v>
      </c>
    </row>
    <row r="102" spans="2:7" ht="15.75" x14ac:dyDescent="0.3">
      <c r="B102" s="35" t="s">
        <v>58</v>
      </c>
      <c r="C102" s="27">
        <f>SUM(C92:C101)</f>
        <v>9324</v>
      </c>
      <c r="D102" s="27">
        <f t="shared" ref="D102:G102" si="40">SUM(D92:D101)</f>
        <v>4370</v>
      </c>
      <c r="E102" s="27">
        <f t="shared" si="40"/>
        <v>-2437</v>
      </c>
      <c r="F102" s="27">
        <f t="shared" si="40"/>
        <v>-11973</v>
      </c>
      <c r="G102" s="28">
        <f t="shared" si="40"/>
        <v>499</v>
      </c>
    </row>
    <row r="103" spans="2:7" ht="15.75" x14ac:dyDescent="0.3">
      <c r="B103" s="14" t="s">
        <v>77</v>
      </c>
      <c r="C103" s="18">
        <v>9795</v>
      </c>
      <c r="D103" s="18">
        <v>34</v>
      </c>
      <c r="E103" s="18">
        <v>75</v>
      </c>
      <c r="F103" s="18">
        <v>10161</v>
      </c>
      <c r="G103" s="39">
        <v>165</v>
      </c>
    </row>
    <row r="104" spans="2:7" ht="15.75" x14ac:dyDescent="0.3">
      <c r="B104" s="14" t="s">
        <v>78</v>
      </c>
      <c r="C104" s="18">
        <v>-15371</v>
      </c>
      <c r="D104" s="18">
        <v>-1310</v>
      </c>
      <c r="E104" s="18">
        <v>-5216</v>
      </c>
      <c r="F104" s="18">
        <v>-8673</v>
      </c>
      <c r="G104" s="39">
        <v>-3621</v>
      </c>
    </row>
    <row r="105" spans="2:7" ht="15.75" x14ac:dyDescent="0.3">
      <c r="B105" s="14" t="s">
        <v>85</v>
      </c>
      <c r="C105" s="18">
        <v>0</v>
      </c>
      <c r="D105" s="18">
        <v>0</v>
      </c>
      <c r="E105" s="18">
        <v>0</v>
      </c>
      <c r="F105" s="18">
        <v>18200</v>
      </c>
      <c r="G105" s="39">
        <v>0</v>
      </c>
    </row>
    <row r="106" spans="2:7" ht="15.75" x14ac:dyDescent="0.3">
      <c r="B106" s="14" t="s">
        <v>79</v>
      </c>
      <c r="C106" s="18">
        <v>0</v>
      </c>
      <c r="D106" s="18">
        <v>0</v>
      </c>
      <c r="E106" s="18">
        <v>0</v>
      </c>
      <c r="F106" s="18">
        <v>5657</v>
      </c>
      <c r="G106" s="39">
        <v>0</v>
      </c>
    </row>
    <row r="107" spans="2:7" ht="15.75" x14ac:dyDescent="0.3">
      <c r="B107" s="16" t="s">
        <v>80</v>
      </c>
      <c r="C107" s="18">
        <v>42</v>
      </c>
      <c r="D107" s="18">
        <v>50</v>
      </c>
      <c r="E107" s="18">
        <v>45</v>
      </c>
      <c r="F107" s="18">
        <v>0</v>
      </c>
      <c r="G107" s="39">
        <v>0</v>
      </c>
    </row>
    <row r="108" spans="2:7" ht="15.75" x14ac:dyDescent="0.3">
      <c r="B108" s="16" t="s">
        <v>81</v>
      </c>
      <c r="C108" s="18">
        <v>-66</v>
      </c>
      <c r="D108" s="18">
        <v>-40</v>
      </c>
      <c r="E108" s="18">
        <v>-408</v>
      </c>
      <c r="F108" s="18">
        <v>-83</v>
      </c>
      <c r="G108" s="39">
        <v>-34</v>
      </c>
    </row>
    <row r="109" spans="2:7" ht="15.75" x14ac:dyDescent="0.3">
      <c r="B109" s="16" t="s">
        <v>82</v>
      </c>
      <c r="C109" s="18">
        <v>0</v>
      </c>
      <c r="D109" s="18">
        <v>0</v>
      </c>
      <c r="E109" s="18">
        <v>0</v>
      </c>
      <c r="F109" s="18">
        <v>0</v>
      </c>
      <c r="G109" s="39">
        <v>-331</v>
      </c>
    </row>
    <row r="110" spans="2:7" ht="15.75" x14ac:dyDescent="0.3">
      <c r="B110" s="16" t="s">
        <v>76</v>
      </c>
      <c r="C110" s="18">
        <v>0</v>
      </c>
      <c r="D110" s="18">
        <v>0</v>
      </c>
      <c r="E110" s="18">
        <v>17</v>
      </c>
      <c r="F110" s="18">
        <v>-53</v>
      </c>
      <c r="G110" s="39">
        <v>58</v>
      </c>
    </row>
    <row r="111" spans="2:7" ht="15.75" x14ac:dyDescent="0.3">
      <c r="B111" s="42" t="s">
        <v>59</v>
      </c>
      <c r="C111" s="27">
        <f t="shared" ref="C111:E111" si="41">SUM(C103:C110)</f>
        <v>-5600</v>
      </c>
      <c r="D111" s="27">
        <f t="shared" si="41"/>
        <v>-1266</v>
      </c>
      <c r="E111" s="27">
        <f t="shared" si="41"/>
        <v>-5487</v>
      </c>
      <c r="F111" s="27">
        <f>SUM(F103:F110)</f>
        <v>25209</v>
      </c>
      <c r="G111" s="28">
        <f>SUM(G103:G110)</f>
        <v>-3763</v>
      </c>
    </row>
    <row r="112" spans="2:7" ht="15.75" x14ac:dyDescent="0.3">
      <c r="B112" s="16" t="s">
        <v>86</v>
      </c>
      <c r="C112" s="18">
        <v>-39</v>
      </c>
      <c r="D112" s="18">
        <v>-73</v>
      </c>
      <c r="E112" s="18">
        <v>30</v>
      </c>
      <c r="F112" s="18">
        <v>-47</v>
      </c>
      <c r="G112" s="40">
        <v>40</v>
      </c>
    </row>
    <row r="113" spans="2:7" ht="16.5" thickBot="1" x14ac:dyDescent="0.35">
      <c r="B113" s="33" t="s">
        <v>60</v>
      </c>
      <c r="C113" s="13">
        <f>SUM(C111,C102,C91,C112)</f>
        <v>269</v>
      </c>
      <c r="D113" s="13">
        <f>SUM(D111,D102,D91,D112)</f>
        <v>6543</v>
      </c>
      <c r="E113" s="13">
        <f>SUM(E111,E102,E91,E112)</f>
        <v>-1934</v>
      </c>
      <c r="F113" s="13">
        <f>SUM(F111,F102,F91,F112)</f>
        <v>1109</v>
      </c>
      <c r="G113" s="21">
        <f>SUM(G111,G102,G91,G112)</f>
        <v>-2159</v>
      </c>
    </row>
    <row r="114" spans="2:7" ht="16.5" thickTop="1" x14ac:dyDescent="0.3">
      <c r="B114" s="16" t="s">
        <v>88</v>
      </c>
      <c r="C114" s="18">
        <v>7835</v>
      </c>
      <c r="D114" s="18">
        <v>8104</v>
      </c>
      <c r="E114" s="18">
        <v>14647</v>
      </c>
      <c r="F114" s="18">
        <v>12713</v>
      </c>
      <c r="G114" s="39">
        <v>13822</v>
      </c>
    </row>
    <row r="115" spans="2:7" ht="15.75" x14ac:dyDescent="0.3">
      <c r="B115" s="16" t="s">
        <v>87</v>
      </c>
      <c r="C115" s="18">
        <v>8104</v>
      </c>
      <c r="D115" s="18">
        <v>14647</v>
      </c>
      <c r="E115" s="18">
        <v>12713</v>
      </c>
      <c r="F115" s="18">
        <v>13822</v>
      </c>
      <c r="G115" s="39">
        <v>11663</v>
      </c>
    </row>
    <row r="116" spans="2:7" ht="15.75" x14ac:dyDescent="0.3">
      <c r="B116" s="16" t="s">
        <v>89</v>
      </c>
      <c r="C116" s="18">
        <v>52</v>
      </c>
      <c r="D116" s="18">
        <v>33</v>
      </c>
      <c r="E116" s="18">
        <v>22</v>
      </c>
      <c r="F116" s="18">
        <v>21</v>
      </c>
      <c r="G116" s="39">
        <v>742</v>
      </c>
    </row>
    <row r="117" spans="2:7" ht="16.5" thickBot="1" x14ac:dyDescent="0.35">
      <c r="B117" s="33" t="s">
        <v>90</v>
      </c>
      <c r="C117" s="43">
        <f>SUM(C115-C116)</f>
        <v>8052</v>
      </c>
      <c r="D117" s="43">
        <f>SUM(D115-D116)</f>
        <v>14614</v>
      </c>
      <c r="E117" s="43">
        <f>SUM(E115-E116)</f>
        <v>12691</v>
      </c>
      <c r="F117" s="43">
        <f>SUM(F115-F116)</f>
        <v>13801</v>
      </c>
      <c r="G117" s="44">
        <f>SUM(G115-G116)</f>
        <v>10921</v>
      </c>
    </row>
    <row r="118" spans="2:7" ht="16.5" thickTop="1" x14ac:dyDescent="0.3">
      <c r="B118" s="16" t="s">
        <v>117</v>
      </c>
      <c r="C118" s="45" t="str">
        <f>IF(C117=C29, "✓", "✗")</f>
        <v>✓</v>
      </c>
      <c r="D118" s="45" t="str">
        <f t="shared" ref="D118:G118" si="42">IF(D117=D29, "✓", "✗")</f>
        <v>✓</v>
      </c>
      <c r="E118" s="45" t="str">
        <f t="shared" si="42"/>
        <v>✓</v>
      </c>
      <c r="F118" s="45" t="str">
        <f t="shared" si="42"/>
        <v>✓</v>
      </c>
      <c r="G118" s="46" t="str">
        <f t="shared" si="42"/>
        <v>✓</v>
      </c>
    </row>
  </sheetData>
  <pageMargins left="0.7" right="0.7" top="0.75" bottom="0.75" header="0.3" footer="0.3"/>
  <pageSetup orientation="portrait" horizontalDpi="1200" verticalDpi="1200" r:id="rId1"/>
  <ignoredErrors>
    <ignoredError sqref="C36 C91 H19 H14 H12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Assumptions</vt:lpstr>
      <vt:lpstr>3 Statement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Tim Nguyen</cp:lastModifiedBy>
  <dcterms:created xsi:type="dcterms:W3CDTF">2026-04-18T04:58:16Z</dcterms:created>
  <dcterms:modified xsi:type="dcterms:W3CDTF">2026-04-23T04:16:53Z</dcterms:modified>
</cp:coreProperties>
</file>