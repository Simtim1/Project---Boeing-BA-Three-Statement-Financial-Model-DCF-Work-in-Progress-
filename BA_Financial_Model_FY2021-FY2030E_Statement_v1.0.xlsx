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Tim\Desktop\"/>
    </mc:Choice>
  </mc:AlternateContent>
  <xr:revisionPtr revIDLastSave="0" documentId="13_ncr:1_{A53EBED2-C7A7-4BDA-92D1-62B4AE286DAB}" xr6:coauthVersionLast="47" xr6:coauthVersionMax="47" xr10:uidLastSave="{00000000-0000-0000-0000-000000000000}"/>
  <bookViews>
    <workbookView xWindow="-120" yWindow="-120" windowWidth="29040" windowHeight="15720" activeTab="1" xr2:uid="{63A9B8CA-83BF-48D9-A8B6-530B504F47C6}"/>
  </bookViews>
  <sheets>
    <sheet name="Cover" sheetId="1" r:id="rId1"/>
    <sheet name="3 Statement" sheetId="3" r:id="rId2"/>
    <sheet name="DCF" sheetId="4" r:id="rId3"/>
  </sheets>
  <definedNames>
    <definedName name="Company_Name">Cover!#REF!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9" i="4" l="1"/>
  <c r="C16" i="3" l="1"/>
  <c r="C13" i="3"/>
  <c r="C11" i="3"/>
  <c r="H24" i="3"/>
  <c r="I24" i="3" s="1"/>
  <c r="J24" i="3" s="1"/>
  <c r="K24" i="3" s="1"/>
  <c r="L24" i="3" s="1"/>
  <c r="B7" i="4" l="1"/>
  <c r="C14" i="3" l="1"/>
  <c r="C12" i="3"/>
  <c r="E4" i="4" l="1"/>
  <c r="F4" i="4" s="1"/>
  <c r="G4" i="4" s="1"/>
  <c r="H4" i="4" s="1"/>
  <c r="H101" i="3"/>
  <c r="I101" i="3" s="1"/>
  <c r="J101" i="3" s="1"/>
  <c r="H95" i="3"/>
  <c r="I95" i="3" s="1"/>
  <c r="J95" i="3" s="1"/>
  <c r="H94" i="3"/>
  <c r="H133" i="3" s="1"/>
  <c r="H108" i="3"/>
  <c r="J108" i="3" s="1"/>
  <c r="L108" i="3" s="1"/>
  <c r="I108" i="3"/>
  <c r="K108" i="3" s="1"/>
  <c r="H87" i="3"/>
  <c r="I87" i="3" s="1"/>
  <c r="J87" i="3" s="1"/>
  <c r="K87" i="3" s="1"/>
  <c r="L87" i="3" s="1"/>
  <c r="G40" i="3"/>
  <c r="H164" i="3"/>
  <c r="I164" i="3" s="1"/>
  <c r="J164" i="3" s="1"/>
  <c r="H160" i="3"/>
  <c r="I160" i="3" s="1"/>
  <c r="H162" i="3"/>
  <c r="H158" i="3"/>
  <c r="I158" i="3" s="1"/>
  <c r="J158" i="3" s="1"/>
  <c r="K158" i="3" s="1"/>
  <c r="L158" i="3" s="1"/>
  <c r="H157" i="3"/>
  <c r="I157" i="3" s="1"/>
  <c r="J157" i="3" s="1"/>
  <c r="K157" i="3" s="1"/>
  <c r="L157" i="3" s="1"/>
  <c r="H156" i="3"/>
  <c r="I156" i="3" s="1"/>
  <c r="H155" i="3"/>
  <c r="I155" i="3" s="1"/>
  <c r="J155" i="3" s="1"/>
  <c r="K155" i="3" s="1"/>
  <c r="L155" i="3" s="1"/>
  <c r="H152" i="3"/>
  <c r="I152" i="3" s="1"/>
  <c r="J152" i="3" s="1"/>
  <c r="K152" i="3" s="1"/>
  <c r="L152" i="3" s="1"/>
  <c r="H151" i="3"/>
  <c r="I151" i="3" s="1"/>
  <c r="H149" i="3"/>
  <c r="I149" i="3" s="1"/>
  <c r="H145" i="3"/>
  <c r="H144" i="3"/>
  <c r="H141" i="3"/>
  <c r="I141" i="3" s="1"/>
  <c r="H137" i="3"/>
  <c r="I137" i="3"/>
  <c r="J137" i="3"/>
  <c r="K137" i="3"/>
  <c r="L137" i="3"/>
  <c r="H138" i="3"/>
  <c r="I138" i="3" s="1"/>
  <c r="J138" i="3" s="1"/>
  <c r="H136" i="3"/>
  <c r="I136" i="3" s="1"/>
  <c r="H125" i="3"/>
  <c r="I125" i="3" s="1"/>
  <c r="H111" i="3"/>
  <c r="I111" i="3" s="1"/>
  <c r="J111" i="3" s="1"/>
  <c r="K111" i="3" s="1"/>
  <c r="L111" i="3" s="1"/>
  <c r="H110" i="3"/>
  <c r="I159" i="3" l="1"/>
  <c r="J136" i="3"/>
  <c r="H159" i="3"/>
  <c r="I145" i="3"/>
  <c r="J145" i="3" s="1"/>
  <c r="K145" i="3" s="1"/>
  <c r="L145" i="3" s="1"/>
  <c r="J149" i="3"/>
  <c r="K149" i="3" s="1"/>
  <c r="H102" i="3"/>
  <c r="I102" i="3" s="1"/>
  <c r="I94" i="3"/>
  <c r="J94" i="3" s="1"/>
  <c r="K94" i="3" s="1"/>
  <c r="I144" i="3"/>
  <c r="J144" i="3" s="1"/>
  <c r="J151" i="3"/>
  <c r="K136" i="3"/>
  <c r="L136" i="3" s="1"/>
  <c r="K101" i="3"/>
  <c r="L101" i="3" s="1"/>
  <c r="H135" i="3"/>
  <c r="K95" i="3"/>
  <c r="L95" i="3" s="1"/>
  <c r="K164" i="3"/>
  <c r="L164" i="3" s="1"/>
  <c r="J160" i="3"/>
  <c r="K160" i="3" s="1"/>
  <c r="J156" i="3"/>
  <c r="K156" i="3" s="1"/>
  <c r="J141" i="3"/>
  <c r="K141" i="3" s="1"/>
  <c r="L141" i="3" s="1"/>
  <c r="K138" i="3"/>
  <c r="L138" i="3" s="1"/>
  <c r="J125" i="3"/>
  <c r="H119" i="3"/>
  <c r="H118" i="3"/>
  <c r="I118" i="3" s="1"/>
  <c r="J118" i="3" s="1"/>
  <c r="J102" i="3" l="1"/>
  <c r="L149" i="3"/>
  <c r="K144" i="3"/>
  <c r="L144" i="3" s="1"/>
  <c r="K151" i="3"/>
  <c r="K102" i="3" s="1"/>
  <c r="J159" i="3"/>
  <c r="L94" i="3"/>
  <c r="L160" i="3"/>
  <c r="L156" i="3"/>
  <c r="H106" i="3"/>
  <c r="H105" i="3"/>
  <c r="I105" i="3" s="1"/>
  <c r="J105" i="3" s="1"/>
  <c r="I119" i="3"/>
  <c r="J119" i="3" s="1"/>
  <c r="K125" i="3"/>
  <c r="L125" i="3" s="1"/>
  <c r="K118" i="3"/>
  <c r="L118" i="3" s="1"/>
  <c r="H104" i="3"/>
  <c r="I104" i="3" s="1"/>
  <c r="J104" i="3" s="1"/>
  <c r="K104" i="3" s="1"/>
  <c r="L104" i="3" s="1"/>
  <c r="H98" i="3"/>
  <c r="H96" i="3"/>
  <c r="I96" i="3" s="1"/>
  <c r="J96" i="3" s="1"/>
  <c r="K96" i="3" s="1"/>
  <c r="L96" i="3" s="1"/>
  <c r="H90" i="3"/>
  <c r="I90" i="3" s="1"/>
  <c r="J90" i="3" s="1"/>
  <c r="K90" i="3" s="1"/>
  <c r="L90" i="3" s="1"/>
  <c r="H89" i="3"/>
  <c r="H134" i="3" s="1"/>
  <c r="H88" i="3"/>
  <c r="I88" i="3" s="1"/>
  <c r="J88" i="3" s="1"/>
  <c r="H140" i="3"/>
  <c r="D18" i="4" l="1"/>
  <c r="I89" i="3"/>
  <c r="L151" i="3"/>
  <c r="L159" i="3" s="1"/>
  <c r="K159" i="3"/>
  <c r="I135" i="3"/>
  <c r="I98" i="3"/>
  <c r="J98" i="3" s="1"/>
  <c r="K98" i="3" s="1"/>
  <c r="L98" i="3" s="1"/>
  <c r="I106" i="3"/>
  <c r="J106" i="3" s="1"/>
  <c r="K119" i="3"/>
  <c r="L119" i="3" s="1"/>
  <c r="I140" i="3"/>
  <c r="E18" i="4" s="1"/>
  <c r="K105" i="3"/>
  <c r="L105" i="3" s="1"/>
  <c r="K88" i="3"/>
  <c r="L88" i="3" s="1"/>
  <c r="L102" i="3" l="1"/>
  <c r="K106" i="3"/>
  <c r="L106" i="3" s="1"/>
  <c r="J140" i="3"/>
  <c r="J89" i="3"/>
  <c r="I134" i="3"/>
  <c r="J135" i="3"/>
  <c r="K140" i="3" l="1"/>
  <c r="G18" i="4" s="1"/>
  <c r="F18" i="4"/>
  <c r="K89" i="3"/>
  <c r="J134" i="3"/>
  <c r="L135" i="3"/>
  <c r="K135" i="3"/>
  <c r="G97" i="3"/>
  <c r="H80" i="3"/>
  <c r="H81" i="3"/>
  <c r="I81" i="3" s="1"/>
  <c r="J81" i="3" s="1"/>
  <c r="K81" i="3" s="1"/>
  <c r="L81" i="3" s="1"/>
  <c r="H78" i="3"/>
  <c r="I78" i="3" s="1"/>
  <c r="J78" i="3" s="1"/>
  <c r="K78" i="3" s="1"/>
  <c r="L78" i="3" s="1"/>
  <c r="L140" i="3" l="1"/>
  <c r="H18" i="4" s="1"/>
  <c r="L89" i="3"/>
  <c r="L134" i="3" s="1"/>
  <c r="K134" i="3"/>
  <c r="I80" i="3"/>
  <c r="H128" i="3"/>
  <c r="J80" i="3" l="1"/>
  <c r="I128" i="3"/>
  <c r="J128" i="3" l="1"/>
  <c r="K80" i="3"/>
  <c r="H51" i="3"/>
  <c r="E24" i="3"/>
  <c r="F24" i="3"/>
  <c r="G24" i="3"/>
  <c r="D24" i="3"/>
  <c r="D9" i="4" l="1"/>
  <c r="H91" i="3"/>
  <c r="H83" i="3"/>
  <c r="K128" i="3"/>
  <c r="L80" i="3"/>
  <c r="L128" i="3" s="1"/>
  <c r="H129" i="3"/>
  <c r="D46" i="3"/>
  <c r="E46" i="3"/>
  <c r="F46" i="3"/>
  <c r="G46" i="3"/>
  <c r="D47" i="3"/>
  <c r="E47" i="3"/>
  <c r="F47" i="3"/>
  <c r="G47" i="3"/>
  <c r="D44" i="3"/>
  <c r="E44" i="3"/>
  <c r="F44" i="3"/>
  <c r="G44" i="3"/>
  <c r="C44" i="3"/>
  <c r="D42" i="3"/>
  <c r="E42" i="3"/>
  <c r="F42" i="3"/>
  <c r="G42" i="3"/>
  <c r="C42" i="3"/>
  <c r="D41" i="3"/>
  <c r="E41" i="3"/>
  <c r="F41" i="3"/>
  <c r="G41" i="3"/>
  <c r="C41" i="3"/>
  <c r="D40" i="3"/>
  <c r="E40" i="3"/>
  <c r="H40" i="3" s="1"/>
  <c r="F40" i="3"/>
  <c r="I40" i="3" s="1"/>
  <c r="C40" i="3"/>
  <c r="D39" i="3"/>
  <c r="E39" i="3"/>
  <c r="F39" i="3"/>
  <c r="G39" i="3"/>
  <c r="C39" i="3"/>
  <c r="D37" i="3"/>
  <c r="E37" i="3"/>
  <c r="F37" i="3"/>
  <c r="G37" i="3"/>
  <c r="C37" i="3"/>
  <c r="D36" i="3"/>
  <c r="E36" i="3"/>
  <c r="F36" i="3"/>
  <c r="G36" i="3"/>
  <c r="C36" i="3"/>
  <c r="D35" i="3"/>
  <c r="E35" i="3"/>
  <c r="F35" i="3"/>
  <c r="G35" i="3"/>
  <c r="C35" i="3"/>
  <c r="J40" i="3" l="1"/>
  <c r="K40" i="3" s="1"/>
  <c r="L40" i="3"/>
  <c r="H131" i="3"/>
  <c r="H39" i="3"/>
  <c r="H47" i="3"/>
  <c r="H63" i="3" s="1"/>
  <c r="H46" i="3" s="1"/>
  <c r="H37" i="3"/>
  <c r="I37" i="3" s="1"/>
  <c r="I39" i="3"/>
  <c r="D29" i="3"/>
  <c r="E29" i="3"/>
  <c r="F29" i="3"/>
  <c r="G29" i="3"/>
  <c r="C29" i="3"/>
  <c r="D28" i="3"/>
  <c r="E28" i="3"/>
  <c r="F28" i="3"/>
  <c r="G28" i="3"/>
  <c r="C28" i="3"/>
  <c r="D27" i="3"/>
  <c r="E27" i="3"/>
  <c r="F27" i="3"/>
  <c r="G27" i="3"/>
  <c r="C27" i="3"/>
  <c r="H35" i="3"/>
  <c r="D22" i="3"/>
  <c r="E22" i="3" s="1"/>
  <c r="F22" i="3" s="1"/>
  <c r="G22" i="3" s="1"/>
  <c r="H22" i="3" s="1"/>
  <c r="I22" i="3" s="1"/>
  <c r="J22" i="3" s="1"/>
  <c r="K22" i="3" s="1"/>
  <c r="L22" i="3" s="1"/>
  <c r="H73" i="3"/>
  <c r="I73" i="3" s="1"/>
  <c r="H71" i="3"/>
  <c r="I71" i="3" s="1"/>
  <c r="H67" i="3"/>
  <c r="I67" i="3" s="1"/>
  <c r="H62" i="3"/>
  <c r="I62" i="3" s="1"/>
  <c r="H60" i="3"/>
  <c r="H42" i="3" l="1"/>
  <c r="H120" i="3"/>
  <c r="J37" i="3"/>
  <c r="K37" i="3" s="1"/>
  <c r="J39" i="3"/>
  <c r="H55" i="3"/>
  <c r="H28" i="3" s="1"/>
  <c r="H79" i="3"/>
  <c r="H127" i="3" s="1"/>
  <c r="H56" i="3"/>
  <c r="H29" i="3" s="1"/>
  <c r="H52" i="3"/>
  <c r="H27" i="3" s="1"/>
  <c r="J73" i="3"/>
  <c r="K73" i="3" s="1"/>
  <c r="L73" i="3" s="1"/>
  <c r="J67" i="3"/>
  <c r="I47" i="3"/>
  <c r="I63" i="3" s="1"/>
  <c r="I46" i="3" s="1"/>
  <c r="J71" i="3"/>
  <c r="K71" i="3" s="1"/>
  <c r="J62" i="3"/>
  <c r="K62" i="3" s="1"/>
  <c r="I60" i="3"/>
  <c r="D11" i="1"/>
  <c r="G109" i="3"/>
  <c r="F109" i="3"/>
  <c r="F112" i="3" s="1"/>
  <c r="H82" i="3" l="1"/>
  <c r="E13" i="3" s="1"/>
  <c r="H86" i="3"/>
  <c r="H36" i="3" s="1"/>
  <c r="D15" i="4"/>
  <c r="I51" i="3"/>
  <c r="I91" i="3"/>
  <c r="I83" i="3"/>
  <c r="L37" i="3"/>
  <c r="K39" i="3"/>
  <c r="L39" i="3" s="1"/>
  <c r="K67" i="3"/>
  <c r="J47" i="3"/>
  <c r="L71" i="3"/>
  <c r="L62" i="3"/>
  <c r="J60" i="3"/>
  <c r="H53" i="3"/>
  <c r="H26" i="3" s="1"/>
  <c r="H130" i="3" l="1"/>
  <c r="I79" i="3"/>
  <c r="I127" i="3" s="1"/>
  <c r="I55" i="3"/>
  <c r="I28" i="3" s="1"/>
  <c r="E9" i="4"/>
  <c r="I56" i="3"/>
  <c r="I29" i="3" s="1"/>
  <c r="I52" i="3"/>
  <c r="I27" i="3" s="1"/>
  <c r="J51" i="3"/>
  <c r="I120" i="3"/>
  <c r="I35" i="3"/>
  <c r="J133" i="3"/>
  <c r="I133" i="3"/>
  <c r="I131" i="3"/>
  <c r="I129" i="3"/>
  <c r="I42" i="3" s="1"/>
  <c r="K47" i="3"/>
  <c r="J63" i="3"/>
  <c r="J46" i="3" s="1"/>
  <c r="L67" i="3"/>
  <c r="H57" i="3"/>
  <c r="H58" i="3" s="1"/>
  <c r="K60" i="3"/>
  <c r="L60" i="3" s="1"/>
  <c r="I86" i="3" l="1"/>
  <c r="I36" i="3" s="1"/>
  <c r="E15" i="4"/>
  <c r="H30" i="3"/>
  <c r="H59" i="3"/>
  <c r="D10" i="4" s="1"/>
  <c r="D11" i="4"/>
  <c r="D13" i="4" s="1"/>
  <c r="J35" i="3"/>
  <c r="F9" i="4"/>
  <c r="I53" i="3"/>
  <c r="I26" i="3" s="1"/>
  <c r="I82" i="3"/>
  <c r="I130" i="3" s="1"/>
  <c r="J79" i="3"/>
  <c r="J127" i="3" s="1"/>
  <c r="J120" i="3"/>
  <c r="J55" i="3"/>
  <c r="J28" i="3" s="1"/>
  <c r="K51" i="3"/>
  <c r="I57" i="3"/>
  <c r="J91" i="3"/>
  <c r="J83" i="3"/>
  <c r="J52" i="3"/>
  <c r="J27" i="3" s="1"/>
  <c r="J56" i="3"/>
  <c r="J29" i="3" s="1"/>
  <c r="K133" i="3"/>
  <c r="K129" i="3"/>
  <c r="J129" i="3"/>
  <c r="J42" i="3" s="1"/>
  <c r="L47" i="3"/>
  <c r="L63" i="3" s="1"/>
  <c r="L46" i="3" s="1"/>
  <c r="K63" i="3"/>
  <c r="K46" i="3" s="1"/>
  <c r="C165" i="3"/>
  <c r="C166" i="3" s="1"/>
  <c r="D165" i="3"/>
  <c r="D166" i="3" s="1"/>
  <c r="E165" i="3"/>
  <c r="E166" i="3" s="1"/>
  <c r="F165" i="3"/>
  <c r="F166" i="3" s="1"/>
  <c r="G165" i="3"/>
  <c r="G166" i="3" s="1"/>
  <c r="C159" i="3"/>
  <c r="D159" i="3"/>
  <c r="E159" i="3"/>
  <c r="G159" i="3"/>
  <c r="F159" i="3"/>
  <c r="E146" i="3"/>
  <c r="D150" i="3"/>
  <c r="F150" i="3"/>
  <c r="G150" i="3"/>
  <c r="C150" i="3"/>
  <c r="C84" i="3"/>
  <c r="D84" i="3"/>
  <c r="C57" i="3"/>
  <c r="H64" i="3" l="1"/>
  <c r="H65" i="3" s="1"/>
  <c r="J86" i="3"/>
  <c r="J36" i="3" s="1"/>
  <c r="F15" i="4"/>
  <c r="I58" i="3"/>
  <c r="I30" i="3" s="1"/>
  <c r="K55" i="3"/>
  <c r="K28" i="3" s="1"/>
  <c r="L51" i="3"/>
  <c r="G9" i="4"/>
  <c r="K35" i="3"/>
  <c r="K52" i="3"/>
  <c r="K27" i="3" s="1"/>
  <c r="K83" i="3"/>
  <c r="K131" i="3" s="1"/>
  <c r="K79" i="3"/>
  <c r="K127" i="3" s="1"/>
  <c r="K120" i="3"/>
  <c r="K91" i="3"/>
  <c r="L91" i="3" s="1"/>
  <c r="J131" i="3"/>
  <c r="K56" i="3"/>
  <c r="K29" i="3" s="1"/>
  <c r="K42" i="3"/>
  <c r="J53" i="3"/>
  <c r="J57" i="3"/>
  <c r="J82" i="3"/>
  <c r="J130" i="3" s="1"/>
  <c r="E150" i="3"/>
  <c r="H146" i="3"/>
  <c r="H150" i="3" s="1"/>
  <c r="L79" i="3"/>
  <c r="L120" i="3"/>
  <c r="L129" i="3"/>
  <c r="L42" i="3" s="1"/>
  <c r="L133" i="3"/>
  <c r="D116" i="3"/>
  <c r="E116" i="3" s="1"/>
  <c r="F116" i="3" s="1"/>
  <c r="G116" i="3" s="1"/>
  <c r="H116" i="3" s="1"/>
  <c r="I116" i="3" s="1"/>
  <c r="J116" i="3" s="1"/>
  <c r="K116" i="3" s="1"/>
  <c r="L116" i="3" s="1"/>
  <c r="C63" i="3"/>
  <c r="G57" i="3"/>
  <c r="F57" i="3"/>
  <c r="E57" i="3"/>
  <c r="D57" i="3"/>
  <c r="G53" i="3"/>
  <c r="G26" i="3" s="1"/>
  <c r="F53" i="3"/>
  <c r="F26" i="3" s="1"/>
  <c r="E53" i="3"/>
  <c r="E26" i="3" s="1"/>
  <c r="D53" i="3"/>
  <c r="D26" i="3" s="1"/>
  <c r="C53" i="3"/>
  <c r="C26" i="3" s="1"/>
  <c r="D50" i="3"/>
  <c r="D76" i="3"/>
  <c r="G112" i="3"/>
  <c r="D109" i="3"/>
  <c r="D112" i="3" s="1"/>
  <c r="E109" i="3"/>
  <c r="E112" i="3" s="1"/>
  <c r="C109" i="3"/>
  <c r="C112" i="3" s="1"/>
  <c r="H66" i="3" l="1"/>
  <c r="E10" i="3" s="1"/>
  <c r="L52" i="3"/>
  <c r="L82" i="3" s="1"/>
  <c r="L127" i="3"/>
  <c r="K86" i="3"/>
  <c r="K36" i="3" s="1"/>
  <c r="G15" i="4"/>
  <c r="H15" i="4"/>
  <c r="L83" i="3"/>
  <c r="L131" i="3" s="1"/>
  <c r="K53" i="3"/>
  <c r="K26" i="3" s="1"/>
  <c r="I59" i="3"/>
  <c r="E11" i="4"/>
  <c r="E13" i="4" s="1"/>
  <c r="K82" i="3"/>
  <c r="K130" i="3" s="1"/>
  <c r="L55" i="3"/>
  <c r="L28" i="3" s="1"/>
  <c r="L56" i="3"/>
  <c r="L29" i="3" s="1"/>
  <c r="L35" i="3"/>
  <c r="H9" i="4"/>
  <c r="J58" i="3"/>
  <c r="J26" i="3"/>
  <c r="K57" i="3"/>
  <c r="I146" i="3"/>
  <c r="I150" i="3" s="1"/>
  <c r="C47" i="3"/>
  <c r="C46" i="3"/>
  <c r="C58" i="3"/>
  <c r="C59" i="3" s="1"/>
  <c r="E76" i="3"/>
  <c r="E50" i="3"/>
  <c r="F58" i="3"/>
  <c r="F59" i="3" s="1"/>
  <c r="D58" i="3"/>
  <c r="D59" i="3" s="1"/>
  <c r="E58" i="3"/>
  <c r="E59" i="3" s="1"/>
  <c r="G58" i="3"/>
  <c r="G59" i="3" s="1"/>
  <c r="H68" i="3" l="1"/>
  <c r="H70" i="3" s="1"/>
  <c r="H72" i="3" s="1"/>
  <c r="H117" i="3"/>
  <c r="H31" i="3"/>
  <c r="H107" i="3"/>
  <c r="H109" i="3" s="1"/>
  <c r="H112" i="3" s="1"/>
  <c r="L86" i="3"/>
  <c r="L36" i="3" s="1"/>
  <c r="L53" i="3"/>
  <c r="L26" i="3" s="1"/>
  <c r="L27" i="3"/>
  <c r="E10" i="4"/>
  <c r="I64" i="3"/>
  <c r="I65" i="3" s="1"/>
  <c r="K58" i="3"/>
  <c r="K30" i="3" s="1"/>
  <c r="L57" i="3"/>
  <c r="J59" i="3"/>
  <c r="F10" i="4" s="1"/>
  <c r="F11" i="4"/>
  <c r="F13" i="4" s="1"/>
  <c r="J30" i="3"/>
  <c r="J146" i="3"/>
  <c r="L130" i="3"/>
  <c r="E30" i="3"/>
  <c r="E45" i="3"/>
  <c r="C30" i="3"/>
  <c r="C45" i="3"/>
  <c r="D30" i="3"/>
  <c r="D45" i="3"/>
  <c r="F30" i="3"/>
  <c r="F45" i="3"/>
  <c r="G30" i="3"/>
  <c r="G45" i="3"/>
  <c r="G64" i="3"/>
  <c r="G33" i="3" s="1"/>
  <c r="F50" i="3"/>
  <c r="F76" i="3"/>
  <c r="E64" i="3"/>
  <c r="E66" i="3" s="1"/>
  <c r="C64" i="3"/>
  <c r="C66" i="3" s="1"/>
  <c r="D64" i="3"/>
  <c r="D66" i="3" s="1"/>
  <c r="F64" i="3"/>
  <c r="F66" i="3" s="1"/>
  <c r="C97" i="3"/>
  <c r="C103" i="3" s="1"/>
  <c r="C113" i="3" s="1"/>
  <c r="D97" i="3"/>
  <c r="D103" i="3" s="1"/>
  <c r="D113" i="3" s="1"/>
  <c r="E97" i="3"/>
  <c r="E103" i="3" s="1"/>
  <c r="E113" i="3" s="1"/>
  <c r="F97" i="3"/>
  <c r="G103" i="3"/>
  <c r="G113" i="3" s="1"/>
  <c r="C92" i="3"/>
  <c r="D92" i="3"/>
  <c r="E84" i="3"/>
  <c r="E92" i="3" s="1"/>
  <c r="F84" i="3"/>
  <c r="F92" i="3" s="1"/>
  <c r="G84" i="3"/>
  <c r="G92" i="3" s="1"/>
  <c r="H74" i="3" l="1"/>
  <c r="L58" i="3"/>
  <c r="H11" i="4" s="1"/>
  <c r="H13" i="4" s="1"/>
  <c r="J64" i="3"/>
  <c r="J65" i="3" s="1"/>
  <c r="K59" i="3"/>
  <c r="G11" i="4"/>
  <c r="G13" i="4" s="1"/>
  <c r="I66" i="3"/>
  <c r="K146" i="3"/>
  <c r="J150" i="3"/>
  <c r="F68" i="3"/>
  <c r="F70" i="3" s="1"/>
  <c r="F31" i="3"/>
  <c r="E68" i="3"/>
  <c r="E70" i="3" s="1"/>
  <c r="E31" i="3"/>
  <c r="D68" i="3"/>
  <c r="D70" i="3" s="1"/>
  <c r="D31" i="3"/>
  <c r="C68" i="3"/>
  <c r="C70" i="3" s="1"/>
  <c r="C31" i="3"/>
  <c r="C114" i="3"/>
  <c r="H41" i="3"/>
  <c r="G76" i="3"/>
  <c r="G66" i="3"/>
  <c r="F103" i="3"/>
  <c r="F113" i="3" s="1"/>
  <c r="F114" i="3" s="1"/>
  <c r="E114" i="3"/>
  <c r="G50" i="3"/>
  <c r="D114" i="3"/>
  <c r="G114" i="3"/>
  <c r="F117" i="3"/>
  <c r="F139" i="3" s="1"/>
  <c r="D117" i="3"/>
  <c r="D139" i="3" s="1"/>
  <c r="C117" i="3"/>
  <c r="C139" i="3" s="1"/>
  <c r="E117" i="3"/>
  <c r="E139" i="3" s="1"/>
  <c r="L30" i="3" l="1"/>
  <c r="L59" i="3"/>
  <c r="H10" i="4" s="1"/>
  <c r="I117" i="3"/>
  <c r="I107" i="3"/>
  <c r="I31" i="3"/>
  <c r="I68" i="3"/>
  <c r="I70" i="3" s="1"/>
  <c r="G10" i="4"/>
  <c r="K64" i="3"/>
  <c r="K65" i="3" s="1"/>
  <c r="J66" i="3"/>
  <c r="L146" i="3"/>
  <c r="L150" i="3" s="1"/>
  <c r="K150" i="3"/>
  <c r="I41" i="3"/>
  <c r="I93" i="3" s="1"/>
  <c r="H93" i="3"/>
  <c r="G68" i="3"/>
  <c r="G70" i="3" s="1"/>
  <c r="G72" i="3" s="1"/>
  <c r="G31" i="3"/>
  <c r="C161" i="3"/>
  <c r="F161" i="3"/>
  <c r="E161" i="3"/>
  <c r="D161" i="3"/>
  <c r="H76" i="3"/>
  <c r="I76" i="3" s="1"/>
  <c r="J76" i="3" s="1"/>
  <c r="K76" i="3" s="1"/>
  <c r="L76" i="3" s="1"/>
  <c r="H50" i="3"/>
  <c r="I50" i="3" s="1"/>
  <c r="J50" i="3" s="1"/>
  <c r="K50" i="3" s="1"/>
  <c r="L50" i="3" s="1"/>
  <c r="F72" i="3"/>
  <c r="F74" i="3"/>
  <c r="E72" i="3"/>
  <c r="E74" i="3"/>
  <c r="D74" i="3"/>
  <c r="D72" i="3"/>
  <c r="C74" i="3"/>
  <c r="C72" i="3"/>
  <c r="G117" i="3"/>
  <c r="G139" i="3" s="1"/>
  <c r="L64" i="3" l="1"/>
  <c r="L65" i="3" s="1"/>
  <c r="J117" i="3"/>
  <c r="J31" i="3"/>
  <c r="J68" i="3"/>
  <c r="J70" i="3" s="1"/>
  <c r="K66" i="3"/>
  <c r="I74" i="3"/>
  <c r="I72" i="3"/>
  <c r="I109" i="3"/>
  <c r="I112" i="3" s="1"/>
  <c r="J107" i="3"/>
  <c r="J41" i="3"/>
  <c r="J93" i="3" s="1"/>
  <c r="J97" i="3" s="1"/>
  <c r="J103" i="3" s="1"/>
  <c r="H97" i="3"/>
  <c r="H103" i="3" s="1"/>
  <c r="H132" i="3"/>
  <c r="H139" i="3" s="1"/>
  <c r="I97" i="3"/>
  <c r="I103" i="3" s="1"/>
  <c r="I132" i="3"/>
  <c r="I139" i="3" s="1"/>
  <c r="G74" i="3"/>
  <c r="H44" i="3"/>
  <c r="H45" i="3" s="1"/>
  <c r="G161" i="3"/>
  <c r="L66" i="3" l="1"/>
  <c r="L117" i="3" s="1"/>
  <c r="K41" i="3"/>
  <c r="L41" i="3" s="1"/>
  <c r="L93" i="3" s="1"/>
  <c r="K107" i="3"/>
  <c r="J109" i="3"/>
  <c r="J112" i="3" s="1"/>
  <c r="J113" i="3" s="1"/>
  <c r="K117" i="3"/>
  <c r="K68" i="3"/>
  <c r="K70" i="3" s="1"/>
  <c r="K31" i="3"/>
  <c r="J72" i="3"/>
  <c r="J74" i="3"/>
  <c r="I161" i="3"/>
  <c r="E17" i="4"/>
  <c r="E20" i="4" s="1"/>
  <c r="E21" i="4" s="1"/>
  <c r="I113" i="3"/>
  <c r="H161" i="3"/>
  <c r="H163" i="3" s="1"/>
  <c r="I162" i="3" s="1"/>
  <c r="D17" i="4"/>
  <c r="D20" i="4" s="1"/>
  <c r="D21" i="4" s="1"/>
  <c r="J132" i="3"/>
  <c r="J139" i="3" s="1"/>
  <c r="H113" i="3"/>
  <c r="I44" i="3"/>
  <c r="I45" i="3" s="1"/>
  <c r="E23" i="4" l="1"/>
  <c r="L31" i="3"/>
  <c r="L68" i="3"/>
  <c r="L70" i="3" s="1"/>
  <c r="L72" i="3" s="1"/>
  <c r="K93" i="3"/>
  <c r="K132" i="3" s="1"/>
  <c r="K139" i="3" s="1"/>
  <c r="K72" i="3"/>
  <c r="K74" i="3"/>
  <c r="J161" i="3"/>
  <c r="F17" i="4"/>
  <c r="F20" i="4" s="1"/>
  <c r="F21" i="4" s="1"/>
  <c r="I163" i="3"/>
  <c r="J162" i="3" s="1"/>
  <c r="L107" i="3"/>
  <c r="L109" i="3" s="1"/>
  <c r="L112" i="3" s="1"/>
  <c r="K109" i="3"/>
  <c r="K112" i="3" s="1"/>
  <c r="H165" i="3"/>
  <c r="H77" i="3" s="1"/>
  <c r="L97" i="3"/>
  <c r="L103" i="3" s="1"/>
  <c r="J44" i="3"/>
  <c r="H84" i="3" l="1"/>
  <c r="H92" i="3" s="1"/>
  <c r="H114" i="3" s="1"/>
  <c r="C15" i="3"/>
  <c r="C20" i="3" s="1"/>
  <c r="F23" i="4"/>
  <c r="L74" i="3"/>
  <c r="K97" i="3"/>
  <c r="K103" i="3" s="1"/>
  <c r="K113" i="3" s="1"/>
  <c r="L132" i="3"/>
  <c r="L139" i="3" s="1"/>
  <c r="H17" i="4" s="1"/>
  <c r="H20" i="4" s="1"/>
  <c r="H21" i="4" s="1"/>
  <c r="K10" i="4" s="1"/>
  <c r="K12" i="4" s="1"/>
  <c r="L113" i="3"/>
  <c r="I165" i="3"/>
  <c r="I77" i="3" s="1"/>
  <c r="I84" i="3" s="1"/>
  <c r="I92" i="3" s="1"/>
  <c r="I114" i="3" s="1"/>
  <c r="J163" i="3"/>
  <c r="J165" i="3" s="1"/>
  <c r="K161" i="3"/>
  <c r="G17" i="4"/>
  <c r="G20" i="4" s="1"/>
  <c r="G21" i="4" s="1"/>
  <c r="K44" i="3"/>
  <c r="K45" i="3" s="1"/>
  <c r="J45" i="3"/>
  <c r="H166" i="3"/>
  <c r="K13" i="4" l="1"/>
  <c r="K14" i="4" s="1"/>
  <c r="K18" i="4" s="1"/>
  <c r="K20" i="4" s="1"/>
  <c r="K22" i="4" s="1"/>
  <c r="K16" i="4"/>
  <c r="H23" i="4"/>
  <c r="G23" i="4"/>
  <c r="L161" i="3"/>
  <c r="K162" i="3"/>
  <c r="K163" i="3" s="1"/>
  <c r="L162" i="3" s="1"/>
  <c r="L44" i="3"/>
  <c r="L45" i="3" s="1"/>
  <c r="J77" i="3"/>
  <c r="I166" i="3"/>
  <c r="L163" i="3" l="1"/>
  <c r="L165" i="3" s="1"/>
  <c r="L77" i="3" s="1"/>
  <c r="L84" i="3" s="1"/>
  <c r="K165" i="3"/>
  <c r="K77" i="3" s="1"/>
  <c r="K84" i="3" s="1"/>
  <c r="K92" i="3" s="1"/>
  <c r="K114" i="3" s="1"/>
  <c r="J84" i="3"/>
  <c r="J92" i="3" s="1"/>
  <c r="J114" i="3" s="1"/>
  <c r="J166" i="3"/>
  <c r="L92" i="3" l="1"/>
  <c r="L114" i="3" s="1"/>
  <c r="K166" i="3"/>
  <c r="L1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Tim</author>
    <author>tc={CC25524D-F8AB-4957-900B-CDF3B8774F9B}</author>
    <author>tc={055D5F0C-0A02-43EA-950D-294DE5635375}</author>
    <author>tc={9642E61D-A12C-4FC2-9EE1-52ABBE0D2278}</author>
    <author>tc={C2BC33A5-D0C0-4E4B-9056-CDED9D1C7B83}</author>
    <author>tc={7DFCA7F6-9A3C-4057-B292-C36464C66DAF}</author>
    <author>tc={13F13D2F-A08A-4111-A835-FE6FBD97ECB9}</author>
    <author>tc={5B93EEC1-D378-4268-ACFA-5729897E4E79}</author>
    <author>tc={DA9B49CD-FA7F-4574-A934-93ED6001B351}</author>
    <author>tc={88DB0522-55D8-4812-B813-124BB1AFEA83}</author>
    <author>tc={D444E2BF-F590-40CF-954C-ED8B52E75058}</author>
    <author>tc={EA8FA246-8764-48C3-8B1F-AA45006D8E47}</author>
    <author>tc={A0EBDB2E-4E83-4F19-B476-BA22DEDFA8E7}</author>
    <author>tc={097CDB56-F2D4-4881-BC19-7EDB46F7A35B}</author>
    <author>tc={2FAB5614-E802-466C-B7F7-A7998FC509FF}</author>
    <author>tc={FCBF5430-CC16-4FA7-A328-F055805876BF}</author>
    <author>tc={FD6A5B35-3131-4842-8F2D-3FB1F51BA0DC}</author>
    <author>tc={228F1EA9-FD17-4081-80AE-CD9C4A3B146F}</author>
    <author>tc={0D16BCCB-0174-46A1-AC59-A92F3BA51CAF}</author>
    <author>tc={7BF5A409-3B9B-4BF6-9926-A316C2332D1A}</author>
    <author>tc={B185F72E-53E4-443E-AD15-F5590811DD24}</author>
    <author>tc={9D6FFE3E-6A80-4A18-BAE1-FF9B3DF7F127}</author>
    <author>tc={0ACD9A4E-A6CB-4807-A557-5CCDA362CE4D}</author>
    <author>tc={2F685951-B4C8-4575-98BE-C71E921F6006}</author>
    <author>tc={735ECB3F-6B00-471D-B528-CF78FA9D8DCB}</author>
    <author>tc={723A0937-6AEF-49F9-A01F-764A700BA8DF}</author>
    <author>tc={E020734A-44B8-41B1-9F60-59BA644A2BE0}</author>
    <author>tc={4444B2F3-5D63-47A9-821B-BE774CC0C6CD}</author>
    <author>tc={31FA1DCD-E8AF-4359-80DF-460D0C1B3788}</author>
    <author>tc={7EEE51B2-23C8-4486-A6A9-82B3A58CF94D}</author>
    <author>tc={BF7762D6-2D19-4E5A-A42F-48F1758CDBF9}</author>
    <author>tc={BD0AADAC-A367-4E56-B134-8D85E5D1F39A}</author>
    <author>tc={8408FF94-C482-4CF7-B3B6-E64B1A7C83FA}</author>
    <author>tc={D28620DE-7806-4031-A94C-5A70B9745900}</author>
    <author>tc={A220A4AC-D09C-42CC-AAFF-A3D7CABEAF78}</author>
    <author>tc={55835481-3D66-47BC-A0B4-92FC7117D04A}</author>
    <author>tc={F517D032-B01D-4DF2-B2E1-1155B2E900C9}</author>
    <author>tc={2A6522A2-ECFE-452E-9069-22BB49335B60}</author>
    <author>tc={73E334A0-593A-41CB-8659-C7F0D149AD28}</author>
    <author>tc={2C5DD1BA-6455-422A-8A06-F13DA0A1A21E}</author>
    <author>tc={38546E84-2507-4C66-843D-B4E8B55CE5FC}</author>
    <author>tc={781018CE-9A74-4BD7-B24A-7BBD80AB89E7}</author>
    <author>tc={E3887C0E-50E1-411C-B626-EBECC05579F8}</author>
    <author>tc={42B21807-10EE-4681-9B99-E76C8B4F8F19}</author>
    <author>tc={7ECBA987-631A-452A-B005-8DEB05A0D266}</author>
    <author>tc={DBC35067-876F-4FAD-ADB1-8027CB5EB694}</author>
    <author>tc={814AF812-3628-4A3F-BBD1-C79B9FB72DB1}</author>
    <author>tc={68022D32-F1F3-4230-804F-E42ACC6E65BC}</author>
    <author>tc={0F4657DB-4F55-4126-9AA9-309AE70433C1}</author>
    <author>tc={6F50CB29-681B-4273-A7E2-EC93B37B267D}</author>
    <author>tc={C8728A52-4B4C-4EE8-A0E5-D0AABDE46C6A}</author>
    <author>tc={32311E65-3CCC-4F0B-8E2B-49A29C7C4C14}</author>
    <author>tc={2CC4C517-5135-4741-BDCB-AACD715CD406}</author>
    <author>tc={ED508D21-4D41-4D7E-A2C6-47EBB330BC7F}</author>
    <author>tc={0EF33BA7-EA60-4068-A91B-07BCA37ADD16}</author>
    <author>tc={BF4AE64D-C9B3-4377-AA66-B017FC2C584D}</author>
    <author>tc={411E2319-1AA4-4B9C-B4FE-BDB461FBF768}</author>
    <author>tc={83C8CD51-E80A-4656-9959-554450CFFE03}</author>
    <author>tc={F5319C8C-F8F3-4693-ABB0-C77AE715A152}</author>
    <author>tc={FCB91F4A-21DD-4545-A98C-5E64EEF23ECD}</author>
    <author>tc={F849684E-55F3-45B7-A694-57CDAAB97F7C}</author>
    <author>tc={31BB17E1-73EB-438A-A0DB-D6025F734539}</author>
    <author>tc={6B2DD525-3FDF-4831-9A1B-E82B4EACA719}</author>
    <author>tc={949B10D3-3C46-4F0B-BC2A-F0EB9AC0FE1F}</author>
    <author>tc={48544A9C-5A13-48D1-917C-3108BF63C7D6}</author>
    <author>tc={5A51DCBB-5374-41B9-A10B-D554B01E1BF6}</author>
    <author>tc={E50A0D2D-3BE6-4CD1-9F5F-29554D1EAC8F}</author>
    <author>tc={DF0D4C79-7457-440F-B77D-C897944542A1}</author>
    <author>tc={68DB4377-F52A-4AAF-83A8-BD591DFD5B88}</author>
    <author>tc={BFF3F063-7346-4FA0-B987-FBA065DF5BF0}</author>
    <author>tc={0006161D-3BC5-4E50-B74E-B622B762275E}</author>
    <author>tc={F78C6349-BEDA-4712-A897-1FEB6ADCE4E6}</author>
    <author>tc={BF5E9D82-25FE-470A-8E1E-5BE11EEA9DB7}</author>
    <author>tc={812CA68D-79BF-4E4F-81F9-2C4068742389}</author>
    <author>tc={809AE375-C473-4387-B29D-B0C30E437B93}</author>
    <author>tc={9D7F316F-17BF-4FB3-B0FE-FC87EC6234D0}</author>
    <author>tc={CEC400AD-C561-4A30-9BB2-CA4E9DB69447}</author>
    <author>tc={4A83F404-C9A2-46C7-9506-E1EF1742A4DE}</author>
    <author>tc={48A8B806-0B54-4F16-8A9B-5449EA0673F3}</author>
    <author>tc={7FFEBBFF-5D9C-4BFD-9657-AA07CCCF1643}</author>
    <author>tc={BC23432E-35D7-4C91-BB36-3B8971C0F0EF}</author>
    <author>tc={C43B1633-B4E0-4CF6-9023-271AD363286E}</author>
    <author>tc={3406BCD8-C23B-47A2-8911-97DD0FF0B2D2}</author>
    <author>tc={6B97D321-1CD9-43E7-8CB5-8D4B80105B9D}</author>
    <author>tc={4D3C0DCE-13AE-4FE3-9352-785F2D5EEE07}</author>
    <author>tc={6BCFBAF5-47C0-476F-8B84-2B2FCEB0D212}</author>
    <author>tc={C0D67968-DD41-4C7C-A6EC-F945E41037B8}</author>
    <author>tc={8E6376C5-2961-4711-B206-F04555A70644}</author>
    <author>tc={D4DAA8F8-ADD5-4E4C-9817-F0478F5E63A3}</author>
    <author>tc={4700DE3E-E3F0-42B6-B9F2-C0D6D39111C3}</author>
    <author>tc={76663011-AFEF-4E06-A983-640D69F7354B}</author>
    <author>tc={E9384446-E2E6-4EAA-912C-AA254CC96811}</author>
    <author>tc={B61385CD-4D45-43DD-A9B8-1F9A74DDBE7A}</author>
    <author>tc={2688BE2C-FA58-404B-A32E-6069952950F1}</author>
    <author>tc={7E2FEC11-F235-4343-9ED2-AC7B15839631}</author>
    <author>tc={5C64ACA4-E29F-463F-B779-E9272719307F}</author>
    <author>tc={9A9E8B3D-B775-48CF-9620-F2C10C0EC303}</author>
    <author>tc={68D538B7-3B2D-4332-865D-5AD5BC490526}</author>
    <author>tc={84FA0DD2-4274-4155-A7D5-B607DD46069A}</author>
    <author>tc={0CF63F11-B143-4E7B-A7B4-DCEEDCB5A0BF}</author>
    <author>tc={6D078522-323F-412D-9378-145142E98D7D}</author>
  </authors>
  <commentList>
    <comment ref="E10" authorId="0" shapeId="0" xr:uid="{61F9BC7C-0BC8-4C33-AE8F-CFBE87F3004D}">
      <text>
        <r>
          <rPr>
            <b/>
            <sz val="9"/>
            <color indexed="81"/>
            <rFont val="Tahoma"/>
            <family val="2"/>
          </rPr>
          <t>Change in Revenue Growth Rate on Net Income</t>
        </r>
        <r>
          <rPr>
            <sz val="9"/>
            <color indexed="81"/>
            <rFont val="Tahoma"/>
            <family val="2"/>
          </rPr>
          <t xml:space="preserve">
Grey Sky = 6%
Base Case = CAGR 9.47%
Blue Sky = 14%
</t>
        </r>
      </text>
    </comment>
    <comment ref="E13" authorId="0" shapeId="0" xr:uid="{FEEA0652-2398-424D-8986-384238DB6410}">
      <text>
        <r>
          <rPr>
            <b/>
            <u/>
            <sz val="9"/>
            <color indexed="81"/>
            <rFont val="Tahoma"/>
            <family val="2"/>
          </rPr>
          <t>Change in DIO's affect on Inventory</t>
        </r>
        <r>
          <rPr>
            <b/>
            <sz val="9"/>
            <color indexed="81"/>
            <rFont val="Tahoma"/>
            <family val="2"/>
          </rPr>
          <t xml:space="preserve">
</t>
        </r>
        <r>
          <rPr>
            <sz val="9"/>
            <color indexed="81"/>
            <rFont val="Tahoma"/>
            <family val="2"/>
          </rPr>
          <t>Grey Sky = Using Boeing 5 Year DIO Average
Base Case = Matching Airbus DIO
Blue Sky = Industry Average of 131</t>
        </r>
      </text>
    </comment>
    <comment ref="C15" authorId="1" shapeId="0" xr:uid="{CC25524D-F8AB-4957-900B-CDF3B8774F9B}">
      <text>
        <t>[Threaded comment]
Your version of Excel allows you to read this threaded comment; however, any edits to it will get removed if the file is opened in a newer version of Excel. Learn more: https://go.microsoft.com/fwlink/?linkid=870924
Comment:
    =Cash + Short Term Investments + Investments</t>
      </text>
    </comment>
    <comment ref="B24" authorId="2" shapeId="0" xr:uid="{055D5F0C-0A02-43EA-950D-294DE5635375}">
      <text>
        <t>[Threaded comment]
Your version of Excel allows you to read this threaded comment; however, any edits to it will get removed if the file is opened in a newer version of Excel. Learn more: https://go.microsoft.com/fwlink/?linkid=870924
Comment:
    = (Current Revenue / Prior Revenue) - 1</t>
      </text>
    </comment>
    <comment ref="H24" authorId="3" shapeId="0" xr:uid="{9642E61D-A12C-4FC2-9EE1-52ABBE0D2278}">
      <text>
        <t>[Threaded comment]
Your version of Excel allows you to read this threaded comment; however, any edits to it will get removed if the file is opened in a newer version of Excel. Learn more: https://go.microsoft.com/fwlink/?linkid=870924
Comment:
    Grey Sky = 6%
Base Case = CAGR 9.47%
Blue Sky = 14%</t>
      </text>
    </comment>
    <comment ref="B26" authorId="4" shapeId="0" xr:uid="{C2BC33A5-D0C0-4E4B-9056-CDED9D1C7B83}">
      <text>
        <t>[Threaded comment]
Your version of Excel allows you to read this threaded comment; however, any edits to it will get removed if the file is opened in a newer version of Excel. Learn more: https://go.microsoft.com/fwlink/?linkid=870924
Comment:
    = Gross Profit / Revenue</t>
      </text>
    </comment>
    <comment ref="B27" authorId="5" shapeId="0" xr:uid="{7DFCA7F6-9A3C-4057-B292-C36464C66DAF}">
      <text>
        <t xml:space="preserve">[Threaded comment]
Your version of Excel allows you to read this threaded comment; however, any edits to it will get removed if the file is opened in a newer version of Excel. Learn more: https://go.microsoft.com/fwlink/?linkid=870924
Comment:
    = COGS / Revenue </t>
      </text>
    </comment>
    <comment ref="B28" authorId="6" shapeId="0" xr:uid="{13F13D2F-A08A-4111-A835-FE6FBD97ECB9}">
      <text>
        <t xml:space="preserve">[Threaded comment]
Your version of Excel allows you to read this threaded comment; however, any edits to it will get removed if the file is opened in a newer version of Excel. Learn more: https://go.microsoft.com/fwlink/?linkid=870924
Comment:
    = SG&amp;A / Revenue </t>
      </text>
    </comment>
    <comment ref="B29" authorId="7" shapeId="0" xr:uid="{5B93EEC1-D378-4268-ACFA-5729897E4E79}">
      <text>
        <t xml:space="preserve">[Threaded comment]
Your version of Excel allows you to read this threaded comment; however, any edits to it will get removed if the file is opened in a newer version of Excel. Learn more: https://go.microsoft.com/fwlink/?linkid=870924
Comment:
    = R&amp;D / Revenue </t>
      </text>
    </comment>
    <comment ref="B30" authorId="8" shapeId="0" xr:uid="{DA9B49CD-FA7F-4574-A934-93ED6001B351}">
      <text>
        <t xml:space="preserve">[Threaded comment]
Your version of Excel allows you to read this threaded comment; however, any edits to it will get removed if the file is opened in a newer version of Excel. Learn more: https://go.microsoft.com/fwlink/?linkid=870924
Comment:
    = EBIT / Revenue </t>
      </text>
    </comment>
    <comment ref="B31" authorId="9" shapeId="0" xr:uid="{88DB0522-55D8-4812-B813-124BB1AFEA83}">
      <text>
        <t xml:space="preserve">[Threaded comment]
Your version of Excel allows you to read this threaded comment; however, any edits to it will get removed if the file is opened in a newer version of Excel. Learn more: https://go.microsoft.com/fwlink/?linkid=870924
Comment:
    = Net Income / Revenue </t>
      </text>
    </comment>
    <comment ref="B33" authorId="10" shapeId="0" xr:uid="{D444E2BF-F590-40CF-954C-ED8B52E75058}">
      <text>
        <t xml:space="preserve">[Threaded comment]
Your version of Excel allows you to read this threaded comment; however, any edits to it will get removed if the file is opened in a newer version of Excel. Learn more: https://go.microsoft.com/fwlink/?linkid=870924
Comment:
     Taxes / EBT — nm (not meaningful) in loss years. Use statutory rate of 21% as forecast assumption 
= Taxes / EBT </t>
      </text>
    </comment>
    <comment ref="B35" authorId="11" shapeId="0" xr:uid="{EA8FA246-8764-48C3-8B1F-AA45006D8E47}">
      <text>
        <t xml:space="preserve">[Threaded comment]
Your version of Excel allows you to read this threaded comment; however, any edits to it will get removed if the file is opened in a newer version of Excel. Learn more: https://go.microsoft.com/fwlink/?linkid=870924
Comment:
    = Capex / Revenue </t>
      </text>
    </comment>
    <comment ref="B36" authorId="12" shapeId="0" xr:uid="{A0EBDB2E-4E83-4F19-B476-BA22DEDFA8E7}">
      <text>
        <t xml:space="preserve">[Threaded comment]
Your version of Excel allows you to read this threaded comment; however, any edits to it will get removed if the file is opened in a newer version of Excel. Learn more: https://go.microsoft.com/fwlink/?linkid=870924
Comment:
    = Capex / PP&amp;E </t>
      </text>
    </comment>
    <comment ref="B37" authorId="13" shapeId="0" xr:uid="{097CDB56-F2D4-4881-BC19-7EDB46F7A35B}">
      <text>
        <t xml:space="preserve">[Threaded comment]
Your version of Excel allows you to read this threaded comment; however, any edits to it will get removed if the file is opened in a newer version of Excel. Learn more: https://go.microsoft.com/fwlink/?linkid=870924
Comment:
    = D&amp;A / Revenue </t>
      </text>
    </comment>
    <comment ref="B39" authorId="14" shapeId="0" xr:uid="{2FAB5614-E802-466C-B7F7-A7998FC509FF}">
      <text>
        <t xml:space="preserve">[Threaded comment]
Your version of Excel allows you to read this threaded comment; however, any edits to it will get removed if the file is opened in a newer version of Excel. Learn more: https://go.microsoft.com/fwlink/?linkid=870924
Comment:
    = Accounts Receivable / Revenue × 365 </t>
      </text>
    </comment>
    <comment ref="H39" authorId="15" shapeId="0" xr:uid="{FCBF5430-CC16-4FA7-A328-F055805876BF}">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B40" authorId="16" shapeId="0" xr:uid="{FD6A5B35-3131-4842-8F2D-3FB1F51BA0DC}">
      <text>
        <t xml:space="preserve">[Threaded comment]
Your version of Excel allows you to read this threaded comment; however, any edits to it will get removed if the file is opened in a newer version of Excel. Learn more: https://go.microsoft.com/fwlink/?linkid=870924
Comment:
    = Inventory / COGS × 365 </t>
      </text>
    </comment>
    <comment ref="H40" authorId="17" shapeId="0" xr:uid="{228F1EA9-FD17-4081-80AE-CD9C4A3B146F}">
      <text>
        <t>[Threaded comment]
Your version of Excel allows you to read this threaded comment; however, any edits to it will get removed if the file is opened in a newer version of Excel. Learn more: https://go.microsoft.com/fwlink/?linkid=870924
Comment:
    Grey Sky = Using Boeing 3 Year DIO Average
Base Case = Matching Airbus DIO
Blue Sky = Industry Average of 131</t>
      </text>
    </comment>
    <comment ref="B41" authorId="18" shapeId="0" xr:uid="{0D16BCCB-0174-46A1-AC59-A92F3BA51CAF}">
      <text>
        <t xml:space="preserve">[Threaded comment]
Your version of Excel allows you to read this threaded comment; however, any edits to it will get removed if the file is opened in a newer version of Excel. Learn more: https://go.microsoft.com/fwlink/?linkid=870924
Comment:
    = Accounts Payable / COGS × 365 </t>
      </text>
    </comment>
    <comment ref="H41" authorId="19" shapeId="0" xr:uid="{7BF5A409-3B9B-4BF6-9926-A316C2332D1A}">
      <text>
        <t xml:space="preserve">[Threaded comment]
Your version of Excel allows you to read this threaded comment; however, any edits to it will get removed if the file is opened in a newer version of Excel. Learn more: https://go.microsoft.com/fwlink/?linkid=870924
Comment:
    Using 5 Year Average
</t>
      </text>
    </comment>
    <comment ref="B42" authorId="20" shapeId="0" xr:uid="{B185F72E-53E4-443E-AD15-F5590811DD24}">
      <text>
        <t xml:space="preserve">[Threaded comment]
Your version of Excel allows you to read this threaded comment; however, any edits to it will get removed if the file is opened in a newer version of Excel. Learn more: https://go.microsoft.com/fwlink/?linkid=870924
Comment:
    = Advances &amp; Progress Billings / Revenue </t>
      </text>
    </comment>
    <comment ref="B44" authorId="21" shapeId="0" xr:uid="{9D6FFE3E-6A80-4A18-BAE1-FF9B3DF7F127}">
      <text>
        <t xml:space="preserve">[Threaded comment]
Your version of Excel allows you to read this threaded comment; however, any edits to it will get removed if the file is opened in a newer version of Excel. Learn more: https://go.microsoft.com/fwlink/?linkid=870924
Comment:
    Net Debt = Short-term Debt + Long-term Debt − Cash − Short-term Investments
</t>
      </text>
    </comment>
    <comment ref="B45" authorId="22" shapeId="0" xr:uid="{0ACD9A4E-A6CB-4807-A557-5CCDA362CE4D}">
      <text>
        <t xml:space="preserve">[Threaded comment]
Your version of Excel allows you to read this threaded comment; however, any edits to it will get removed if the file is opened in a newer version of Excel. Learn more: https://go.microsoft.com/fwlink/?linkid=870924
Comment:
    nm = not meaningful in loss years where EBITA is negative </t>
      </text>
    </comment>
    <comment ref="B46" authorId="23" shapeId="0" xr:uid="{2F685951-B4C8-4575-98BE-C71E921F6006}">
      <text>
        <t xml:space="preserve">[Threaded comment]
Your version of Excel allows you to read this threaded comment; however, any edits to it will get removed if the file is opened in a newer version of Excel. Learn more: https://go.microsoft.com/fwlink/?linkid=870924
Comment:
    nm = not meaningful in loss years where EBITA is negative 
</t>
      </text>
    </comment>
    <comment ref="B47" authorId="24" shapeId="0" xr:uid="{735ECB3F-6B00-471D-B528-CF78FA9D8DCB}">
      <text>
        <t xml:space="preserve">[Threaded comment]
Your version of Excel allows you to read this threaded comment; however, any edits to it will get removed if the file is opened in a newer version of Excel. Learn more: https://go.microsoft.com/fwlink/?linkid=870924
Comment:
    = Interest Expense / Total Debt </t>
      </text>
    </comment>
    <comment ref="H47" authorId="25" shapeId="0" xr:uid="{723A0937-6AEF-49F9-A01F-764A700BA8DF}">
      <text>
        <t>[Threaded comment]
Your version of Excel allows you to read this threaded comment; however, any edits to it will get removed if the file is opened in a newer version of Excel. Learn more: https://go.microsoft.com/fwlink/?linkid=870924
Comment:
    Using 3 Year Average</t>
      </text>
    </comment>
    <comment ref="H60" authorId="26" shapeId="0" xr:uid="{E020734A-44B8-41B1-9F60-59BA644A2BE0}">
      <text>
        <t>[Threaded comment]
Your version of Excel allows you to read this threaded comment; however, any edits to it will get removed if the file is opened in a newer version of Excel. Learn more: https://go.microsoft.com/fwlink/?linkid=870924
Comment:
    Using 3 Year Average</t>
      </text>
    </comment>
    <comment ref="H62" authorId="27" shapeId="0" xr:uid="{4444B2F3-5D63-47A9-821B-BE774CC0C6CD}">
      <text>
        <t>[Threaded comment]
Your version of Excel allows you to read this threaded comment; however, any edits to it will get removed if the file is opened in a newer version of Excel. Learn more: https://go.microsoft.com/fwlink/?linkid=870924
Comment:
    Using 3 Year Average</t>
      </text>
    </comment>
    <comment ref="H63" authorId="28" shapeId="0" xr:uid="{31FA1DCD-E8AF-4359-80DF-460D0C1B3788}">
      <text>
        <t>[Threaded comment]
Your version of Excel allows you to read this threaded comment; however, any edits to it will get removed if the file is opened in a newer version of Excel. Learn more: https://go.microsoft.com/fwlink/?linkid=870924
Comment:
    =Interest % of Debt * Total Debt</t>
      </text>
    </comment>
    <comment ref="H65" authorId="29" shapeId="0" xr:uid="{7EEE51B2-23C8-4486-A6A9-82B3A58CF94D}">
      <text>
        <t>[Threaded comment]
Your version of Excel allows you to read this threaded comment; however, any edits to it will get removed if the file is opened in a newer version of Excel. Learn more: https://go.microsoft.com/fwlink/?linkid=870924
Comment:
    =EBT * Tax Rate</t>
      </text>
    </comment>
    <comment ref="H69" authorId="30" shapeId="0" xr:uid="{BF7762D6-2D19-4E5A-A42F-48F1758CDBF9}">
      <text>
        <t xml:space="preserve">[Threaded comment]
Your version of Excel allows you to read this threaded comment; however, any edits to it will get removed if the file is opened in a newer version of Excel. Learn more: https://go.microsoft.com/fwlink/?linkid=870924
Comment:
    "Fixed annual dividend of $345M based on Boeing's 6.00% Series A Mandatory Convertible Preferred Stock issued October 2024. Calculated as $5,750M liquidation preference × 6.00% dividend rate. Mandatory conversion to common shares on or about October 15, 2027. 2027E reflects approximately half year dividend (~$173M) and zero thereafter." </t>
      </text>
    </comment>
    <comment ref="I69" authorId="31" shapeId="0" xr:uid="{BD0AADAC-A367-4E56-B134-8D85E5D1F39A}">
      <text>
        <t xml:space="preserve">[Threaded comment]
Your version of Excel allows you to read this threaded comment; however, any edits to it will get removed if the file is opened in a newer version of Excel. Learn more: https://go.microsoft.com/fwlink/?linkid=870924
Comment:
    "Fixed annual dividend of $345M based on Boeing's 6.00% Series A Mandatory Convertible Preferred Stock issued October 2024. Calculated as $5,750M liquidation preference × 6.00% dividend rate. Mandatory conversion to common shares on or about October 15, 2027. 2027E reflects approximately half year dividend (~$173M) and zero thereafter." </t>
      </text>
    </comment>
    <comment ref="B71" authorId="32" shapeId="0" xr:uid="{8408FF94-C482-4CF7-B3B6-E64B1A7C83FA}">
      <text>
        <t xml:space="preserve">[Threaded comment]
Your version of Excel allows you to read this threaded comment; however, any edits to it will get removed if the file is opened in a newer version of Excel. Learn more: https://go.microsoft.com/fwlink/?linkid=870924
Comment:
    Disclosed as basic weighted average common shares outstanding in the EPS footnote of the 10-K </t>
      </text>
    </comment>
    <comment ref="B73" authorId="33" shapeId="0" xr:uid="{D28620DE-7806-4031-A94C-5A70B9745900}">
      <text>
        <t xml:space="preserve">[Threaded comment]
Your version of Excel allows you to read this threaded comment; however, any edits to it will get removed if the file is opened in a newer version of Excel. Learn more: https://go.microsoft.com/fwlink/?linkid=870924
Comment:
    Disclosed as diluted weighted average common shares outstanding in the EPS footnote of the 10-K 
</t>
      </text>
    </comment>
    <comment ref="H78" authorId="34" shapeId="0" xr:uid="{A220A4AC-D09C-42CC-AAFF-A3D7CABEAF78}">
      <text>
        <t>[Threaded comment]
Your version of Excel allows you to read this threaded comment; however, any edits to it will get removed if the file is opened in a newer version of Excel. Learn more: https://go.microsoft.com/fwlink/?linkid=870924
Comment:
    Holding flat as I have no specific assumptions</t>
      </text>
    </comment>
    <comment ref="H79" authorId="35" shapeId="0" xr:uid="{55835481-3D66-47BC-A0B4-92FC7117D04A}">
      <text>
        <t xml:space="preserve">[Threaded comment]
Your version of Excel allows you to read this threaded comment; however, any edits to it will get removed if the file is opened in a newer version of Excel. Learn more: https://go.microsoft.com/fwlink/?linkid=870924
Comment:
    2026 AR = (5yr Average DSO / 365) × 2026 Revenue
</t>
      </text>
    </comment>
    <comment ref="H80" authorId="36" shapeId="0" xr:uid="{F517D032-B01D-4DF2-B2E1-1155B2E900C9}">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82" authorId="37" shapeId="0" xr:uid="{2A6522A2-ECFE-452E-9069-22BB49335B60}">
      <text>
        <t xml:space="preserve">[Threaded comment]
Your version of Excel allows you to read this threaded comment; however, any edits to it will get removed if the file is opened in a newer version of Excel. Learn more: https://go.microsoft.com/fwlink/?linkid=870924
Comment:
    2026 Inventory = (3yr Average DIO / 365) × 2026 COGS
</t>
      </text>
    </comment>
    <comment ref="H83" authorId="38" shapeId="0" xr:uid="{73E334A0-593A-41CB-8659-C7F0D149AD28}">
      <text>
        <t>[Threaded comment]
Your version of Excel allows you to read this threaded comment; however, any edits to it will get removed if the file is opened in a newer version of Excel. Learn more: https://go.microsoft.com/fwlink/?linkid=870924
Comment:
    =2025 Other Current Assets * (1 + Revenue Growth Rate)</t>
      </text>
    </comment>
    <comment ref="H85" authorId="39" shapeId="0" xr:uid="{2C5DD1BA-6455-422A-8A06-F13DA0A1A21E}">
      <text>
        <t>[Threaded comment]
Your version of Excel allows you to read this threaded comment; however, any edits to it will get removed if the file is opened in a newer version of Excel. Learn more: https://go.microsoft.com/fwlink/?linkid=870924
Comment:
    Declining portfolio; Boeing exiting customer financing. Linear run-off assumed.</t>
      </text>
    </comment>
    <comment ref="H86" authorId="40" shapeId="0" xr:uid="{38546E84-2507-4C66-843D-B4E8B55CE5FC}">
      <text>
        <t xml:space="preserve">[Threaded comment]
Your version of Excel allows you to read this threaded comment; however, any edits to it will get removed if the file is opened in a newer version of Excel. Learn more: https://go.microsoft.com/fwlink/?linkid=870924
Comment:
    Prior Year PP&amp;E + CapEx - D&amp;A </t>
      </text>
    </comment>
    <comment ref="H87" authorId="41" shapeId="0" xr:uid="{781018CE-9A74-4BD7-B24A-7BBD80AB89E7}">
      <text>
        <t>[Threaded comment]
Your version of Excel allows you to read this threaded comment; however, any edits to it will get removed if the file is opened in a newer version of Excel. Learn more: https://go.microsoft.com/fwlink/?linkid=870924
Comment:
    Holding flat, no acquisitions acquired</t>
      </text>
    </comment>
    <comment ref="H88" authorId="42" shapeId="0" xr:uid="{E3887C0E-50E1-411C-B626-EBECC05579F8}">
      <text>
        <t>[Threaded comment]
Your version of Excel allows you to read this threaded comment; however, any edits to it will get removed if the file is opened in a newer version of Excel. Learn more: https://go.microsoft.com/fwlink/?linkid=870924
Comment:
    Using a 5 Year Average (No amortization portion of D&amp;A)</t>
      </text>
    </comment>
    <comment ref="H89" authorId="43" shapeId="0" xr:uid="{42B21807-10EE-4681-9B99-E76C8B4F8F19}">
      <text>
        <t>[Threaded comment]
Your version of Excel allows you to read this threaded comment; however, any edits to it will get removed if the file is opened in a newer version of Excel. Learn more: https://go.microsoft.com/fwlink/?linkid=870924
Comment:
    Holding Flat</t>
      </text>
    </comment>
    <comment ref="H90" authorId="44" shapeId="0" xr:uid="{7ECBA987-631A-452A-B005-8DEB05A0D266}">
      <text>
        <t>[Threaded comment]
Your version of Excel allows you to read this threaded comment; however, any edits to it will get removed if the file is opened in a newer version of Excel. Learn more: https://go.microsoft.com/fwlink/?linkid=870924
Comment:
    Holding Flat</t>
      </text>
    </comment>
    <comment ref="H91" authorId="45" shapeId="0" xr:uid="{DBC35067-876F-4FAD-ADB1-8027CB5EB694}">
      <text>
        <t xml:space="preserve">[Threaded comment]
Your version of Excel allows you to read this threaded comment; however, any edits to it will get removed if the file is opened in a newer version of Excel. Learn more: https://go.microsoft.com/fwlink/?linkid=870924
Comment:
    = 2025 Other Non Current Assets * (1 + Revenue Growth Rate)
Keeping consistent with Other Current Assets 
</t>
      </text>
    </comment>
    <comment ref="H93" authorId="46" shapeId="0" xr:uid="{814AF812-3628-4A3F-BBD1-C79B9FB72DB1}">
      <text>
        <t xml:space="preserve">[Threaded comment]
Your version of Excel allows you to read this threaded comment; however, any edits to it will get removed if the file is opened in a newer version of Excel. Learn more: https://go.microsoft.com/fwlink/?linkid=870924
Comment:
    2026 AP = (5yr Average DPO / 365) × 2026 COGS
</t>
      </text>
    </comment>
    <comment ref="H94" authorId="47" shapeId="0" xr:uid="{68022D32-F1F3-4230-804F-E42ACC6E65BC}">
      <text>
        <t xml:space="preserve">[Threaded comment]
Your version of Excel allows you to read this threaded comment; however, any edits to it will get removed if the file is opened in a newer version of Excel. Learn more: https://go.microsoft.com/fwlink/?linkid=870924
Comment:
    Using 5 Year Average
</t>
      </text>
    </comment>
    <comment ref="H95" authorId="48" shapeId="0" xr:uid="{0F4657DB-4F55-4126-9AA9-309AE70433C1}">
      <text>
        <t xml:space="preserve">[Threaded comment]
Your version of Excel allows you to read this threaded comment; however, any edits to it will get removed if the file is opened in a newer version of Excel. Learn more: https://go.microsoft.com/fwlink/?linkid=870924
Comment:
    Using 5 Year Average
</t>
      </text>
    </comment>
    <comment ref="H96" authorId="49" shapeId="0" xr:uid="{6F50CB29-681B-4273-A7E2-EC93B37B267D}">
      <text>
        <t>[Threaded comment]
Your version of Excel allows you to read this threaded comment; however, any edits to it will get removed if the file is opened in a newer version of Excel. Learn more: https://go.microsoft.com/fwlink/?linkid=870924
Comment:
    Holding flat, no debt schedule…debt is volatile hence not using averages</t>
      </text>
    </comment>
    <comment ref="H98" authorId="50" shapeId="0" xr:uid="{C8728A52-4B4C-4EE8-A0E5-D0AABDE46C6A}">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99" authorId="51" shapeId="0" xr:uid="{32311E65-3CCC-4F0B-8E2B-49A29C7C4C14}">
      <text>
        <t>[Threaded comment]
Your version of Excel allows you to read this threaded comment; however, any edits to it will get removed if the file is opened in a newer version of Excel. Learn more: https://go.microsoft.com/fwlink/?linkid=870924
Comment:
    2026E Accrued Retiree Healthcare: Declining ~$190-200M/yr. Benefit obligation reducing through plan modifications and demographics. Trend: $3,528M (2021) → $2,091M (2025) → continuing decline.</t>
      </text>
    </comment>
    <comment ref="H100" authorId="52" shapeId="0" xr:uid="{2CC4C517-5135-4741-BDCB-AACD715CD406}">
      <text>
        <t>[Threaded comment]
Your version of Excel allows you to read this threaded comment; however, any edits to it will get removed if the file is opened in a newer version of Excel. Learn more: https://go.microsoft.com/fwlink/?linkid=870924
Comment:
    2026E Pension Liabilities: Declining ~$300M/yr. Continued de-risking of pension portfolio; annual cash contributions ~$300-400M. Trend: $9,104M (2021) → $4,287M (2025).</t>
      </text>
    </comment>
    <comment ref="H101" authorId="53" shapeId="0" xr:uid="{ED508D21-4D41-4D7E-A2C6-47EBB330BC7F}">
      <text>
        <t>[Threaded comment]
Your version of Excel allows you to read this threaded comment; however, any edits to it will get removed if the file is opened in a newer version of Excel. Learn more: https://go.microsoft.com/fwlink/?linkid=870924
Comment:
    Holding Flat</t>
      </text>
    </comment>
    <comment ref="H102" authorId="54" shapeId="0" xr:uid="{0EF33BA7-EA60-4068-A91B-07BCA37ADD16}">
      <text>
        <t>[Threaded comment]
Your version of Excel allows you to read this threaded comment; however, any edits to it will get removed if the file is opened in a newer version of Excel. Learn more: https://go.microsoft.com/fwlink/?linkid=870924
Comment:
    2025 Long-term Debt + New Borrowings - Debt Repayments 
(Debt Repayments is negative hence the add)</t>
      </text>
    </comment>
    <comment ref="H104" authorId="55" shapeId="0" xr:uid="{BF4AE64D-C9B3-4377-AA66-B017FC2C584D}">
      <text>
        <t>[Threaded comment]
Your version of Excel allows you to read this threaded comment; however, any edits to it will get removed if the file is opened in a newer version of Excel. Learn more: https://go.microsoft.com/fwlink/?linkid=870924
Comment:
    Holding Flat</t>
      </text>
    </comment>
    <comment ref="H105" authorId="56" shapeId="0" xr:uid="{411E2319-1AA4-4B9C-B4FE-BDB461FBF768}">
      <text>
        <t>[Threaded comment]
Your version of Excel allows you to read this threaded comment; however, any edits to it will get removed if the file is opened in a newer version of Excel. Learn more: https://go.microsoft.com/fwlink/?linkid=870924
Comment:
    =2025 Additional Paid-in Capital + Shared-Based Plans Expense</t>
      </text>
    </comment>
    <comment ref="H106" authorId="57" shapeId="0" xr:uid="{83C8CD51-E80A-4656-9959-554450CFFE03}">
      <text>
        <t>[Threaded comment]
Your version of Excel allows you to read this threaded comment; however, any edits to it will get removed if the file is opened in a newer version of Excel. Learn more: https://go.microsoft.com/fwlink/?linkid=870924
Comment:
    =Treasury Stock + Treasury Shares Issued for 401(K) Contribution</t>
      </text>
    </comment>
    <comment ref="H107" authorId="58" shapeId="0" xr:uid="{F5319C8C-F8F3-4693-ABB0-C77AE715A152}">
      <text>
        <t>[Threaded comment]
Your version of Excel allows you to read this threaded comment; however, any edits to it will get removed if the file is opened in a newer version of Excel. Learn more: https://go.microsoft.com/fwlink/?linkid=870924
Comment:
    =Retained Earnings + Net Income</t>
      </text>
    </comment>
    <comment ref="H108" authorId="59" shapeId="0" xr:uid="{FCB91F4A-21DD-4545-A98C-5E64EEF23ECD}">
      <text>
        <t xml:space="preserve">[Threaded comment]
Your version of Excel allows you to read this threaded comment; however, any edits to it will get removed if the file is opened in a newer version of Excel. Learn more: https://go.microsoft.com/fwlink/?linkid=870924
Comment:
    Holding Flat
</t>
      </text>
    </comment>
    <comment ref="H110" authorId="60" shapeId="0" xr:uid="{F849684E-55F3-45B7-A694-57CDAAB97F7C}">
      <text>
        <t>[Threaded comment]
Your version of Excel allows you to read this threaded comment; however, any edits to it will get removed if the file is opened in a newer version of Excel. Learn more: https://go.microsoft.com/fwlink/?linkid=870924
Comment:
    2026E Mandatory Convertible Preferred: $6M. Converts to common equity in 2027</t>
      </text>
    </comment>
    <comment ref="H118" authorId="61" shapeId="0" xr:uid="{31BB17E1-73EB-438A-A0DB-D6025F734539}">
      <text>
        <t xml:space="preserve">[Threaded comment]
Your version of Excel allows you to read this threaded comment; however, any edits to it will get removed if the file is opened in a newer version of Excel. Learn more: https://go.microsoft.com/fwlink/?linkid=870924
Comment:
    Using a 5 Year Average
</t>
      </text>
    </comment>
    <comment ref="H119" authorId="62" shapeId="0" xr:uid="{6B2DD525-3FDF-4831-9A1B-E82B4EACA719}">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120" authorId="63" shapeId="0" xr:uid="{949B10D3-3C46-4F0B-BC2A-F0EB9AC0FE1F}">
      <text>
        <t>[Threaded comment]
Your version of Excel allows you to read this threaded comment; however, any edits to it will get removed if the file is opened in a newer version of Excel. Learn more: https://go.microsoft.com/fwlink/?linkid=870924
Comment:
    =D%A % of Revenue * Revenue</t>
      </text>
    </comment>
    <comment ref="H121" authorId="64" shapeId="0" xr:uid="{48544A9C-5A13-48D1-917C-3108BF63C7D6}">
      <text>
        <t>[Threaded comment]
Your version of Excel allows you to read this threaded comment; however, any edits to it will get removed if the file is opened in a newer version of Excel. Learn more: https://go.microsoft.com/fwlink/?linkid=870924
Comment:
    Unpredictable</t>
      </text>
    </comment>
    <comment ref="H122" authorId="65" shapeId="0" xr:uid="{5A51DCBB-5374-41B9-A10B-D554B01E1BF6}">
      <text>
        <t>[Threaded comment]
Your version of Excel allows you to read this threaded comment; however, any edits to it will get removed if the file is opened in a newer version of Excel. Learn more: https://go.microsoft.com/fwlink/?linkid=870924
Comment:
    Holding as 0</t>
      </text>
    </comment>
    <comment ref="H123" authorId="66" shapeId="0" xr:uid="{E50A0D2D-3BE6-4CD1-9F5F-29554D1EAC8F}">
      <text>
        <t>[Threaded comment]
Your version of Excel allows you to read this threaded comment; however, any edits to it will get removed if the file is opened in a newer version of Excel. Learn more: https://go.microsoft.com/fwlink/?linkid=870924
Comment:
    One time item</t>
      </text>
    </comment>
    <comment ref="B124" authorId="67" shapeId="0" xr:uid="{DF0D4C79-7457-440F-B77D-C897944542A1}">
      <text>
        <t>[Threaded comment]
Your version of Excel allows you to read this threaded comment; however, any edits to it will get removed if the file is opened in a newer version of Excel. Learn more: https://go.microsoft.com/fwlink/?linkid=870924
Comment:
    777X and 787 Reach Forward Losses in 2021</t>
      </text>
    </comment>
    <comment ref="H124" authorId="68" shapeId="0" xr:uid="{68DB4377-F52A-4AAF-83A8-BD591DFD5B88}">
      <text>
        <t>[Threaded comment]
Your version of Excel allows you to read this threaded comment; however, any edits to it will get removed if the file is opened in a newer version of Excel. Learn more: https://go.microsoft.com/fwlink/?linkid=870924
Comment:
    0 as this is programme specific</t>
      </text>
    </comment>
    <comment ref="H125" authorId="69" shapeId="0" xr:uid="{BFF3F063-7346-4FA0-B987-FBA065DF5BF0}">
      <text>
        <t>[Threaded comment]
Your version of Excel allows you to read this threaded comment; however, any edits to it will get removed if the file is opened in a newer version of Excel. Learn more: https://go.microsoft.com/fwlink/?linkid=870924
Comment:
    Using 3 Year Average</t>
      </text>
    </comment>
    <comment ref="H127" authorId="70" shapeId="0" xr:uid="{0006161D-3BC5-4E50-B74E-B622B762275E}">
      <text>
        <t>[Threaded comment]
Your version of Excel allows you to read this threaded comment; however, any edits to it will get removed if the file is opened in a newer version of Excel. Learn more: https://go.microsoft.com/fwlink/?linkid=870924
Comment:
    Minus the change in AR
(If there is an increase in assets, results in negative cash flow)</t>
      </text>
    </comment>
    <comment ref="H128" authorId="71" shapeId="0" xr:uid="{F78C6349-BEDA-4712-A897-1FEB6ADCE4E6}">
      <text>
        <t>[Threaded comment]
Your version of Excel allows you to read this threaded comment; however, any edits to it will get removed if the file is opened in a newer version of Excel. Learn more: https://go.microsoft.com/fwlink/?linkid=870924
Comment:
    Minus change in Unbilled Receivables
(If there is an increase in assets, results in negative cash flow)</t>
      </text>
    </comment>
    <comment ref="H129" authorId="72" shapeId="0" xr:uid="{BF5E9D82-25FE-470A-8E1E-5BE11EEA9DB7}">
      <text>
        <t xml:space="preserve">[Threaded comment]
Your version of Excel allows you to read this threaded comment; however, any edits to it will get removed if the file is opened in a newer version of Excel. Learn more: https://go.microsoft.com/fwlink/?linkid=870924
Comment:
    =2026 Advances &amp; Progress Billings (BS) - 2025 Advances &amp; Progress Billings 
(If there is an increase in liabilities, results in positive cash flow)
</t>
      </text>
    </comment>
    <comment ref="H130" authorId="73" shapeId="0" xr:uid="{812CA68D-79BF-4E4F-81F9-2C4068742389}">
      <text>
        <t>[Threaded comment]
Your version of Excel allows you to read this threaded comment; however, any edits to it will get removed if the file is opened in a newer version of Excel. Learn more: https://go.microsoft.com/fwlink/?linkid=870924
Comment:
    = 2025 Inventory - 2026 Inventory 
Inventory went up, negative in CFS</t>
      </text>
    </comment>
    <comment ref="H131" authorId="74" shapeId="0" xr:uid="{809AE375-C473-4387-B29D-B0C30E437B93}">
      <text>
        <t xml:space="preserve">[Threaded comment]
Your version of Excel allows you to read this threaded comment; however, any edits to it will get removed if the file is opened in a newer version of Excel. Learn more: https://go.microsoft.com/fwlink/?linkid=870924
Comment:
    = 2025 Other CA (BS) − 2026 Other CA (BS)
(Increase in Assets result in negative cash flow) </t>
      </text>
    </comment>
    <comment ref="H132" authorId="75" shapeId="0" xr:uid="{9D7F316F-17BF-4FB3-B0FE-FC87EC6234D0}">
      <text>
        <t>[Threaded comment]
Your version of Excel allows you to read this threaded comment; however, any edits to it will get removed if the file is opened in a newer version of Excel. Learn more: https://go.microsoft.com/fwlink/?linkid=870924
Comment:
    = 2026 AP (BS) − 2025 AP (BS) 
(Increase in liabilities means positive cash flow)</t>
      </text>
    </comment>
    <comment ref="H133" authorId="76" shapeId="0" xr:uid="{CEC400AD-C561-4A30-9BB2-CA4E9DB69447}">
      <text>
        <t>[Threaded comment]
Your version of Excel allows you to read this threaded comment; however, any edits to it will get removed if the file is opened in a newer version of Excel. Learn more: https://go.microsoft.com/fwlink/?linkid=870924
Comment:
    = 2026 Liabilities - 2025 Liabilities
(Increase in liabilities means positive cash flow)</t>
      </text>
    </comment>
    <comment ref="H134" authorId="77" shapeId="0" xr:uid="{4A83F404-C9A2-46C7-9506-E1EF1742A4DE}">
      <text>
        <t>[Threaded comment]
Your version of Excel allows you to read this threaded comment; however, any edits to it will get removed if the file is opened in a newer version of Excel. Learn more: https://go.microsoft.com/fwlink/?linkid=870924
Comment:
    0 as forecast is held flat</t>
      </text>
    </comment>
    <comment ref="H135" authorId="78" shapeId="0" xr:uid="{48A8B806-0B54-4F16-8A9B-5449EA0673F3}">
      <text>
        <t>[Threaded comment]
Your version of Excel allows you to read this threaded comment; however, any edits to it will get removed if the file is opened in a newer version of Excel. Learn more: https://go.microsoft.com/fwlink/?linkid=870924
Comment:
    0 as forecast is held flat</t>
      </text>
    </comment>
    <comment ref="H136" authorId="79" shapeId="0" xr:uid="{7FFEBBFF-5D9C-4BFD-9657-AA07CCCF1643}">
      <text>
        <t>[Threaded comment]
Your version of Excel allows you to read this threaded comment; however, any edits to it will get removed if the file is opened in a newer version of Excel. Learn more: https://go.microsoft.com/fwlink/?linkid=870924
Comment:
    Using 3 Year Average</t>
      </text>
    </comment>
    <comment ref="H137" authorId="80" shapeId="0" xr:uid="{BC23432E-35D7-4C91-BB36-3B8971C0F0EF}">
      <text>
        <t>[Threaded comment]
Your version of Excel allows you to read this threaded comment; however, any edits to it will get removed if the file is opened in a newer version of Excel. Learn more: https://go.microsoft.com/fwlink/?linkid=870924
Comment:
    = (2026 BS balance - 2025 BS balance)
(A decrease in assets means positive cash flow)</t>
      </text>
    </comment>
    <comment ref="H138" authorId="81" shapeId="0" xr:uid="{C43B1633-B4E0-4CF6-9023-271AD363286E}">
      <text>
        <t>[Threaded comment]
Your version of Excel allows you to read this threaded comment; however, any edits to it will get removed if the file is opened in a newer version of Excel. Learn more: https://go.microsoft.com/fwlink/?linkid=870924
Comment:
    Using 3 Year Average</t>
      </text>
    </comment>
    <comment ref="B140" authorId="82" shapeId="0" xr:uid="{3406BCD8-C23B-47A2-8911-97DD0FF0B2D2}">
      <text>
        <t>[Threaded comment]
Your version of Excel allows you to read this threaded comment; however, any edits to it will get removed if the file is opened in a newer version of Excel. Learn more: https://go.microsoft.com/fwlink/?linkid=870924
Comment:
    Payments to Acquire Property, Plant and Equipment</t>
      </text>
    </comment>
    <comment ref="H140" authorId="83" shapeId="0" xr:uid="{6B97D321-1CD9-43E7-8CB5-8D4B80105B9D}">
      <text>
        <t>[Threaded comment]
Your version of Excel allows you to read this threaded comment; however, any edits to it will get removed if the file is opened in a newer version of Excel. Learn more: https://go.microsoft.com/fwlink/?linkid=870924
Comment:
    Using a 5 Year Average</t>
      </text>
    </comment>
    <comment ref="H141" authorId="84" shapeId="0" xr:uid="{4D3C0DCE-13AE-4FE3-9352-785F2D5EEE07}">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142" authorId="85" shapeId="0" xr:uid="{6BCFBAF5-47C0-476F-8B84-2B2FCEB0D212}">
      <text>
        <t>[Threaded comment]
Your version of Excel allows you to read this threaded comment; however, any edits to it will get removed if the file is opened in a newer version of Excel. Learn more: https://go.microsoft.com/fwlink/?linkid=870924
Comment:
    Holding Flat at Zero</t>
      </text>
    </comment>
    <comment ref="H143" authorId="86" shapeId="0" xr:uid="{C0D67968-DD41-4C7C-A6EC-F945E41037B8}">
      <text>
        <t>[Threaded comment]
Your version of Excel allows you to read this threaded comment; however, any edits to it will get removed if the file is opened in a newer version of Excel. Learn more: https://go.microsoft.com/fwlink/?linkid=870924
Comment:
    Holding Flat at Zero</t>
      </text>
    </comment>
    <comment ref="H144" authorId="87" shapeId="0" xr:uid="{8E6376C5-2961-4711-B206-F04555A70644}">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145" authorId="88" shapeId="0" xr:uid="{D4DAA8F8-ADD5-4E4C-9817-F0478F5E63A3}">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146" authorId="89" shapeId="0" xr:uid="{4700DE3E-E3F0-42B6-B9F2-C0D6D39111C3}">
      <text>
        <t>[Threaded comment]
Your version of Excel allows you to read this threaded comment; however, any edits to it will get removed if the file is opened in a newer version of Excel. Learn more: https://go.microsoft.com/fwlink/?linkid=870924
Comment:
    Using 3 Year Average</t>
      </text>
    </comment>
    <comment ref="H147" authorId="90" shapeId="0" xr:uid="{76663011-AFEF-4E06-A983-640D69F7354B}">
      <text>
        <t>[Threaded comment]
Your version of Excel allows you to read this threaded comment; however, any edits to it will get removed if the file is opened in a newer version of Excel. Learn more: https://go.microsoft.com/fwlink/?linkid=870924
Comment:
    Holding Flat at Zero</t>
      </text>
    </comment>
    <comment ref="H148" authorId="91" shapeId="0" xr:uid="{E9384446-E2E6-4EAA-912C-AA254CC96811}">
      <text>
        <t>[Threaded comment]
Your version of Excel allows you to read this threaded comment; however, any edits to it will get removed if the file is opened in a newer version of Excel. Learn more: https://go.microsoft.com/fwlink/?linkid=870924
Comment:
    Holding Flat at Zero</t>
      </text>
    </comment>
    <comment ref="H149" authorId="92" shapeId="0" xr:uid="{B61385CD-4D45-43DD-A9B8-1F9A74DDBE7A}">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151" authorId="93" shapeId="0" xr:uid="{2688BE2C-FA58-404B-A32E-6069952950F1}">
      <text>
        <t>[Threaded comment]
Your version of Excel allows you to read this threaded comment; however, any edits to it will get removed if the file is opened in a newer version of Excel. Learn more: https://go.microsoft.com/fwlink/?linkid=870924
Comment:
    Holding flat due to volatile nature</t>
      </text>
    </comment>
    <comment ref="H152" authorId="94" shapeId="0" xr:uid="{7E2FEC11-F235-4343-9ED2-AC7B15839631}">
      <text>
        <t xml:space="preserve">[Threaded comment]
Your version of Excel allows you to read this threaded comment; however, any edits to it will get removed if the file is opened in a newer version of Excel. Learn more: https://go.microsoft.com/fwlink/?linkid=870924
Comment:
    Holding flat due to volatile nature
</t>
      </text>
    </comment>
    <comment ref="H153" authorId="95" shapeId="0" xr:uid="{5C64ACA4-E29F-463F-B779-E9272719307F}">
      <text>
        <t>[Threaded comment]
Your version of Excel allows you to read this threaded comment; however, any edits to it will get removed if the file is opened in a newer version of Excel. Learn more: https://go.microsoft.com/fwlink/?linkid=870924
Comment:
    Holding Flat at Zero, one off in 2024</t>
      </text>
    </comment>
    <comment ref="H154" authorId="96" shapeId="0" xr:uid="{9A9E8B3D-B775-48CF-9620-F2C10C0EC303}">
      <text>
        <t>[Threaded comment]
Your version of Excel allows you to read this threaded comment; however, any edits to it will get removed if the file is opened in a newer version of Excel. Learn more: https://go.microsoft.com/fwlink/?linkid=870924
Comment:
    Holding Flat at Zero, one off in 2024</t>
      </text>
    </comment>
    <comment ref="H155" authorId="97" shapeId="0" xr:uid="{68D538B7-3B2D-4332-865D-5AD5BC490526}">
      <text>
        <t>[Threaded comment]
Your version of Excel allows you to read this threaded comment; however, any edits to it will get removed if the file is opened in a newer version of Excel. Learn more: https://go.microsoft.com/fwlink/?linkid=870924
Comment:
    Holding Flat at Zero</t>
      </text>
    </comment>
    <comment ref="H156" authorId="98" shapeId="0" xr:uid="{84FA0DD2-4274-4155-A7D5-B607DD46069A}">
      <text>
        <t>[Threaded comment]
Your version of Excel allows you to read this threaded comment; however, any edits to it will get removed if the file is opened in a newer version of Excel. Learn more: https://go.microsoft.com/fwlink/?linkid=870924
Comment:
    Using 5 Year Average</t>
      </text>
    </comment>
    <comment ref="H158" authorId="99" shapeId="0" xr:uid="{0CF63F11-B143-4E7B-A7B4-DCEEDCB5A0BF}">
      <text>
        <t>[Threaded comment]
Your version of Excel allows you to read this threaded comment; however, any edits to it will get removed if the file is opened in a newer version of Excel. Learn more: https://go.microsoft.com/fwlink/?linkid=870924
Comment:
    Holding flat due to volatile nature</t>
      </text>
    </comment>
    <comment ref="H160" authorId="100" shapeId="0" xr:uid="{6D078522-323F-412D-9378-145142E98D7D}">
      <text>
        <t>[Threaded comment]
Your version of Excel allows you to read this threaded comment; however, any edits to it will get removed if the file is opened in a newer version of Excel. Learn more: https://go.microsoft.com/fwlink/?linkid=870924
Comment:
    Using 5 Year Average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tc={974D66F1-C248-4A11-8E2C-B68DD25D535C}</author>
    <author>tc={100835BE-01EF-4223-AEB8-C62E1A015918}</author>
    <author>tc={B57184F4-5308-4721-9E20-D1F352D7B39E}</author>
    <author>Tim</author>
  </authors>
  <commentList>
    <comment ref="K6" authorId="0" shapeId="0" xr:uid="{974D66F1-C248-4A11-8E2C-B68DD25D535C}">
      <text>
        <t xml:space="preserve">[Threaded comment]
Your version of Excel allows you to read this threaded comment; however, any edits to it will get removed if the file is opened in a newer version of Excel. Learn more: https://go.microsoft.com/fwlink/?linkid=870924
Comment:
    9% Reflects Boeing's above-average risk profile, high leverage </t>
      </text>
    </comment>
    <comment ref="K8" authorId="1" shapeId="0" xr:uid="{100835BE-01EF-4223-AEB8-C62E1A015918}">
      <text>
        <t xml:space="preserve">[Threaded comment]
Your version of Excel allows you to read this threaded comment; however, any edits to it will get removed if the file is opened in a newer version of Excel. Learn more: https://go.microsoft.com/fwlink/?linkid=870924
Comment:
    Boeing peer multiples (Airbus, Lockheed, Raytheon) trade at roughly 8–12x EBITDA </t>
      </text>
    </comment>
    <comment ref="K9" authorId="2" shapeId="0" xr:uid="{B57184F4-5308-4721-9E20-D1F352D7B39E}">
      <text>
        <t xml:space="preserve">[Threaded comment]
Your version of Excel allows you to read this threaded comment; however, any edits to it will get removed if the file is opened in a newer version of Excel. Learn more: https://go.microsoft.com/fwlink/?linkid=870924
Comment:
    2.5% Aligned with long-run nominal GDP growth — the standard DCF anchor </t>
      </text>
    </comment>
    <comment ref="B20" authorId="3" shapeId="0" xr:uid="{D9BA4A74-B16F-4F21-8AFC-3F4767DB23C3}">
      <text>
        <r>
          <rPr>
            <b/>
            <sz val="9"/>
            <color indexed="81"/>
            <rFont val="Tahoma"/>
            <family val="2"/>
          </rPr>
          <t xml:space="preserve">
</t>
        </r>
        <r>
          <rPr>
            <sz val="9"/>
            <color indexed="81"/>
            <rFont val="Tahoma"/>
            <family val="2"/>
          </rPr>
          <t>UFCFs are negative across all three scenarios throughout the projection period. This is primarily driven by the Change in Working Capital assumption, which is linked to the DIO (Days Inventory Outstanding) input for each scenario. Grey Sky uses a 5-year historical average DIO of 414 days, Base Case and Blue Sky apply a manually stepped-down DIO reflecting gradual operational improvement.</t>
        </r>
      </text>
    </comment>
    <comment ref="K22" authorId="3" shapeId="0" xr:uid="{3D91B41F-7CD5-4B46-AA27-12944689AB47}">
      <text>
        <r>
          <rPr>
            <sz val="9"/>
            <color indexed="81"/>
            <rFont val="Tahoma"/>
            <family val="2"/>
          </rPr>
          <t>A negative implied price reflects Boeing's EBITDA remaining negative through 2030 in all scenarios, making a traditional terminal value calculation unsuitable. This model is intended for educational purposes to demonstrate DCF mechanics rather than produce a definitive valuation</t>
        </r>
      </text>
    </comment>
  </commentList>
</comments>
</file>

<file path=xl/sharedStrings.xml><?xml version="1.0" encoding="utf-8"?>
<sst xmlns="http://schemas.openxmlformats.org/spreadsheetml/2006/main" count="193" uniqueCount="176">
  <si>
    <t>Income Statement</t>
  </si>
  <si>
    <t>Revenue</t>
  </si>
  <si>
    <t>Cost of Goods Sold (COGS)</t>
  </si>
  <si>
    <t>Gross Profit</t>
  </si>
  <si>
    <t>Expenses</t>
  </si>
  <si>
    <t>Taxes</t>
  </si>
  <si>
    <t>SG&amp;A Expenses</t>
  </si>
  <si>
    <t>Operating Expenses</t>
  </si>
  <si>
    <t>Operating Income (EBIT)</t>
  </si>
  <si>
    <t>Interest Expense</t>
  </si>
  <si>
    <t>Earnings Before Tax (EBT)</t>
  </si>
  <si>
    <t>Other Income</t>
  </si>
  <si>
    <t>Balance Statement</t>
  </si>
  <si>
    <t>Cash</t>
  </si>
  <si>
    <t>Inventory</t>
  </si>
  <si>
    <t>PP&amp;E</t>
  </si>
  <si>
    <t>Accounts Payable</t>
  </si>
  <si>
    <t>Short-term Investments</t>
  </si>
  <si>
    <t>Total Current Assets</t>
  </si>
  <si>
    <t>Other Current Assets</t>
  </si>
  <si>
    <t>Total Assets</t>
  </si>
  <si>
    <t>Long-term Debt</t>
  </si>
  <si>
    <t>Total Liabilities</t>
  </si>
  <si>
    <t>Total Current Liabilities</t>
  </si>
  <si>
    <t>Additional Paid-in Capital</t>
  </si>
  <si>
    <t>Treasury Stock</t>
  </si>
  <si>
    <t>Retained Earnings</t>
  </si>
  <si>
    <t>Total Equity</t>
  </si>
  <si>
    <t>Unbilled Receivables</t>
  </si>
  <si>
    <t>Goodwill</t>
  </si>
  <si>
    <t>Acquired Intangibles Assets, Net</t>
  </si>
  <si>
    <t>Deferred Income Taxes</t>
  </si>
  <si>
    <t>Investments</t>
  </si>
  <si>
    <t>Current Portion of Financing Receivables</t>
  </si>
  <si>
    <t>Accrued Liabilities</t>
  </si>
  <si>
    <t>Advances and Progress Billings</t>
  </si>
  <si>
    <t>Short-term debt and current portion of long-term debt</t>
  </si>
  <si>
    <t>Accrued Retiree Health Care</t>
  </si>
  <si>
    <t>Accrued Pension Plan Liabilities</t>
  </si>
  <si>
    <t>Other Long-Term Liabilities</t>
  </si>
  <si>
    <t>Common Stock</t>
  </si>
  <si>
    <t>Accumulated Other Comprehensive Loss</t>
  </si>
  <si>
    <t>Total Shareholder Equity</t>
  </si>
  <si>
    <t>Non-controlling Interests</t>
  </si>
  <si>
    <t>Total Liabilities and Equity</t>
  </si>
  <si>
    <t>Mandatory Convertible Preferred Stock</t>
  </si>
  <si>
    <t>Gains on Dispositions, Net</t>
  </si>
  <si>
    <t>Income from Operating Investments, Net</t>
  </si>
  <si>
    <t>Cash Flow Statement</t>
  </si>
  <si>
    <t>Net Income</t>
  </si>
  <si>
    <t>Net Earnings (Net Income)</t>
  </si>
  <si>
    <t>Changes in Assets and Liabilities</t>
  </si>
  <si>
    <t>Accounts Receivables</t>
  </si>
  <si>
    <t>Advances &amp; Progress Billings</t>
  </si>
  <si>
    <t>Change in Inventory</t>
  </si>
  <si>
    <t>Cash Flow from Operating Activities</t>
  </si>
  <si>
    <t>Capital Expenditure</t>
  </si>
  <si>
    <t>Cash Flow from Investing Activities</t>
  </si>
  <si>
    <t>Cash Flow from Financing Activities</t>
  </si>
  <si>
    <t>Net Change in Cash</t>
  </si>
  <si>
    <t>Shared-Based Plans Expense</t>
  </si>
  <si>
    <t>Treasury Shares Issued for 401(K) Contribution</t>
  </si>
  <si>
    <t>777X and 767 Reach-Forward Losses</t>
  </si>
  <si>
    <t>Other Non-Cash Items, Net</t>
  </si>
  <si>
    <t>Income Taxes Receivables, Payable and Deferred</t>
  </si>
  <si>
    <t>Pension and Other Postretirement Plans</t>
  </si>
  <si>
    <t xml:space="preserve">Other </t>
  </si>
  <si>
    <t>Proceeds from disposals of PP&amp;E</t>
  </si>
  <si>
    <t>Contributions to Investments</t>
  </si>
  <si>
    <t>Proceeds from Dispositions</t>
  </si>
  <si>
    <t>Acquisitions, Net of Cash Acquired</t>
  </si>
  <si>
    <t>Proceeds from Investments</t>
  </si>
  <si>
    <t>Supplier Notes Receivable</t>
  </si>
  <si>
    <t>Repayments on Supplier Notes Receivable</t>
  </si>
  <si>
    <t>Purchase of Distribution Rights</t>
  </si>
  <si>
    <t>Other</t>
  </si>
  <si>
    <t>New Borrowings</t>
  </si>
  <si>
    <t>Debt Repayments</t>
  </si>
  <si>
    <t>Mandatory Convertible Preferred Stock Issuance</t>
  </si>
  <si>
    <t>Stock Options Exercised</t>
  </si>
  <si>
    <t>Employee Taxes on Share-Based Payment</t>
  </si>
  <si>
    <t>Dividends Paid on Mandatory Convertible Preferred Stock</t>
  </si>
  <si>
    <t>Impairment/Asset Impairment Charges, Net</t>
  </si>
  <si>
    <t>Customer Financing Valuation Adjustments</t>
  </si>
  <si>
    <t>Common Stock Issuance, Net Issuance Costs</t>
  </si>
  <si>
    <t>Effect of Exchange Rate Changes on Cash/Cash Equivalents</t>
  </si>
  <si>
    <t>Closing Cash (incl. restricted)</t>
  </si>
  <si>
    <t>Opening Cash (incl. restricted)</t>
  </si>
  <si>
    <t>Less Restricted Cash</t>
  </si>
  <si>
    <t>Cash &amp; Equivalents (End of Year)</t>
  </si>
  <si>
    <t>Assumptions</t>
  </si>
  <si>
    <t>Revenue and Growth</t>
  </si>
  <si>
    <t>Revenue Growth Rate (%)</t>
  </si>
  <si>
    <t>Profitability</t>
  </si>
  <si>
    <t>Gross Margin %</t>
  </si>
  <si>
    <t>COGS % of Revenue</t>
  </si>
  <si>
    <t>R&amp;D % of Revenue</t>
  </si>
  <si>
    <t>SG&amp;A % of Revenue</t>
  </si>
  <si>
    <t>EBIT Margin %</t>
  </si>
  <si>
    <t>Net Income Margin %</t>
  </si>
  <si>
    <t>Tax</t>
  </si>
  <si>
    <t>Effective Tax Rate</t>
  </si>
  <si>
    <t>Capex % of Revenue</t>
  </si>
  <si>
    <t>Capex % of PP&amp;E</t>
  </si>
  <si>
    <t>D&amp;A % of Revenue</t>
  </si>
  <si>
    <t>Working Capital</t>
  </si>
  <si>
    <t>Leverage &amp; Returns</t>
  </si>
  <si>
    <t>Net Debt ($M)</t>
  </si>
  <si>
    <t>Net Debt / EBITDA</t>
  </si>
  <si>
    <t>Interest Coverage (x)</t>
  </si>
  <si>
    <t>Interest % of Debt</t>
  </si>
  <si>
    <t>Basic EPS</t>
  </si>
  <si>
    <t>Capex (Capital Expenditure)</t>
  </si>
  <si>
    <t>Cash and Equivalent matching with Cash (Balance Sheet) Check</t>
  </si>
  <si>
    <t>Total Asset matching Total Liabilities and Equity Check</t>
  </si>
  <si>
    <t>Basic Shares Outstanding (Millions)</t>
  </si>
  <si>
    <t>Diluted Shares Outstanding (Millions</t>
  </si>
  <si>
    <t>Less: Noncontrolling Interests</t>
  </si>
  <si>
    <t>Net Earnings to Boeing Shareholders</t>
  </si>
  <si>
    <t>Less: Mandatory Convertible Preferred Dividends</t>
  </si>
  <si>
    <t>Net Earnings to Common Shareholders</t>
  </si>
  <si>
    <t>Diluted Basic EPS</t>
  </si>
  <si>
    <t>Advances &amp; Billings % of Revenue</t>
  </si>
  <si>
    <t>Depreciation &amp; Amortization (D&amp;A)</t>
  </si>
  <si>
    <t>Financing Receivables and Operating Leases Equipment, Net</t>
  </si>
  <si>
    <t>Financing Receivables and Operating Lease Equipment, Net</t>
  </si>
  <si>
    <t>The Boeing Company</t>
  </si>
  <si>
    <t xml:space="preserve">   Three Statement Financial Model &amp; DCF Valuation</t>
  </si>
  <si>
    <t>Prepared by</t>
  </si>
  <si>
    <t>Tim Nguyen</t>
  </si>
  <si>
    <t>Date</t>
  </si>
  <si>
    <t>Research and Development (R&amp;D)</t>
  </si>
  <si>
    <t>Days Sales Outstanding (Days)</t>
  </si>
  <si>
    <t>Days Inventory Outstanding (Days)</t>
  </si>
  <si>
    <t>Days Payable Outstanding (Days)</t>
  </si>
  <si>
    <t>Other Non Current Assets</t>
  </si>
  <si>
    <t>Boeing Cash Flow Projections</t>
  </si>
  <si>
    <t>EBITDA</t>
  </si>
  <si>
    <t>Less: Taxes</t>
  </si>
  <si>
    <t>Less: Increase in Working Capital:</t>
  </si>
  <si>
    <t>Less: Capital Expenditures</t>
  </si>
  <si>
    <t>Unlevered Free Cash Flow</t>
  </si>
  <si>
    <t>Present Value of Free Cash Flow</t>
  </si>
  <si>
    <t>Plus Depreciation and Amortization</t>
  </si>
  <si>
    <t>Assumptions &amp; Valuations Overview</t>
  </si>
  <si>
    <t xml:space="preserve">Valuation Date: </t>
  </si>
  <si>
    <t xml:space="preserve">Company Name: </t>
  </si>
  <si>
    <t>Basic Equity Value:</t>
  </si>
  <si>
    <t>Diluted Equity Value:</t>
  </si>
  <si>
    <t>Less: Cash &amp; Investments</t>
  </si>
  <si>
    <t>Plus: Debt</t>
  </si>
  <si>
    <t>Plus: Minority Interest</t>
  </si>
  <si>
    <t>Plus: Preferred Stock</t>
  </si>
  <si>
    <t>Plus: Other Liabilities</t>
  </si>
  <si>
    <t>Enterprise Value:</t>
  </si>
  <si>
    <t>Last Historical Year:</t>
  </si>
  <si>
    <t xml:space="preserve">Share Price </t>
  </si>
  <si>
    <t>Enterprise Value (Millions):</t>
  </si>
  <si>
    <t>Basic Shares Outstanding (Millions):</t>
  </si>
  <si>
    <t>Diluted Shares Outstanding (Millions):</t>
  </si>
  <si>
    <t>Base Case</t>
  </si>
  <si>
    <t>Scenario</t>
  </si>
  <si>
    <t>Active Scenario</t>
  </si>
  <si>
    <t>Free Cash Flow Growth Rate:</t>
  </si>
  <si>
    <t>Terminal EBITDA Multiple:</t>
  </si>
  <si>
    <t>Terminal Growth Rate:</t>
  </si>
  <si>
    <t>Terminal Value:</t>
  </si>
  <si>
    <t>PV of Terminal Value:</t>
  </si>
  <si>
    <t>Sum of PV of Cash Flows:</t>
  </si>
  <si>
    <t>Terminal Value % EV:</t>
  </si>
  <si>
    <t>Balance Sheet Adjustment:</t>
  </si>
  <si>
    <t>Implied Equity Value:</t>
  </si>
  <si>
    <t>Implied Price Per Share:</t>
  </si>
  <si>
    <t>10x</t>
  </si>
  <si>
    <t>Discount Rate (WACC):</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</si>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</sst>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_-;\(#,##0\)_-;_-* &quot;-&quot;_-;_-@_-"/>
    <numFmt numFmtId="165" formatCode="0.0"/>
    <numFmt numFmtId="168" formatCode="_-* #,##0.0_-;\(#,##0.0\)_-;_-* &quot;-&quot;_-;_-@_-"/>
    <numFmt numFmtId="169" formatCode="0.0%"/>
  </numFmts>
  <fonts count="19" x14ac:knownFonts="1">
    <font>
      <sz val="11"/>
      <color theme="1"/>
      <name val="Aptos Narrow"/>
      <family val="2"/>
      <scheme val="minor"/>
    </font>
    <font>
      <sz val="11"/>
      <color theme="1"/>
      <name val="Aptos Narrow"/>
      <family val="2"/>
      <scheme val="minor"/>
    </font>
    <font>
      <b/>
      <sz val="10"/>
      <color theme="0"/>
      <name val="Open Sans"/>
      <family val="2"/>
    </font>
    <font>
      <b/>
      <sz val="10"/>
      <color theme="1"/>
      <name val="Open Sans"/>
      <family val="2"/>
    </font>
    <font>
      <b/>
      <sz val="10"/>
      <color rgb="FF0000FF"/>
      <name val="Open Sans"/>
      <family val="2"/>
    </font>
    <font>
      <sz val="10"/>
      <color theme="1"/>
      <name val="Open Sans"/>
      <family val="2"/>
    </font>
    <font>
      <sz val="10"/>
      <color rgb="FF0000FF"/>
      <name val="Open Sans"/>
      <family val="2"/>
    </font>
    <font>
      <b/>
      <sz val="10"/>
      <name val="Open Sans"/>
      <family val="2"/>
    </font>
    <font>
      <sz val="10"/>
      <name val="Open Sans"/>
      <family val="2"/>
    </font>
    <font>
      <u val="singleAccounting"/>
      <sz val="11"/>
      <name val="Aptos Narrow"/>
      <family val="2"/>
      <scheme val="minor"/>
    </font>
    <font>
      <sz val="11"/>
      <color theme="0"/>
      <name val="Aptos Narrow"/>
      <family val="2"/>
      <scheme val="minor"/>
    </font>
    <font>
      <sz val="11"/>
      <color rgb="FF0033A0"/>
      <name val="Aptos Narrow"/>
      <family val="2"/>
      <scheme val="minor"/>
    </font>
    <font>
      <sz val="28"/>
      <color theme="0"/>
      <name val="Open Sans"/>
      <family val="2"/>
    </font>
    <font>
      <sz val="11"/>
      <color theme="0" tint="-0.249977111117893"/>
      <name val="Aptos Narrow"/>
      <family val="2"/>
      <scheme val="minor"/>
    </font>
    <font>
      <sz val="9"/>
      <color indexed="81"/>
      <name val="Tahoma"/>
      <charset val="1"/>
    </font>
    <font>
      <sz val="9"/>
      <color indexed="81"/>
      <name val="Tahoma"/>
      <family val="2"/>
    </font>
    <font>
      <b/>
      <sz val="9"/>
      <color indexed="81"/>
      <name val="Tahoma"/>
      <family val="2"/>
    </font>
    <font>
      <b/>
      <u/>
      <sz val="9"/>
      <color indexed="81"/>
      <name val="Tahoma"/>
      <family val="2"/>
    </font>
    <font>
      <i/>
      <sz val="11"/>
      <color theme="1"/>
      <name val="Calibri"/>
      <family val="2"/>
    </font>
  </fonts>
  <fills count="4">
    <fill>
      <patternFill patternType="none"/>
    </fill>
    <fill>
      <patternFill patternType="gray125"/>
    </fill>
    <fill>
      <patternFill patternType="solid">
        <fgColor rgb="FF132E57"/>
        <bgColor indexed="64"/>
      </patternFill>
    </fill>
    <fill>
      <patternFill patternType="solid">
        <fgColor rgb="FF0033A0"/>
        <bgColor indexed="64"/>
      </patternFill>
    </fill>
  </fills>
  <borders count="27">
    <border>
      <left/>
      <right/>
      <top/>
      <bottom/>
      <diagonal/>
    </border>
    <border>
      <left/>
      <right/>
      <top style="thin">
        <color indexed="64"/>
      </top>
      <bottom/>
      <diagonal/>
    </border>
    <border>
      <left/>
      <right/>
      <top/>
      <bottom style="thin">
        <color indexed="64"/>
      </bottom>
      <diagonal/>
    </border>
    <border>
      <left/>
      <right/>
      <top style="thin">
        <color indexed="64"/>
      </top>
      <bottom style="double">
        <color indexed="64"/>
      </bottom>
      <diagonal/>
    </border>
    <border>
      <left style="thin">
        <color indexed="64"/>
      </left>
      <right/>
      <top/>
      <bottom/>
      <diagonal/>
    </border>
    <border>
      <left/>
      <right style="thin">
        <color indexed="64"/>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double">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theme="2" tint="-0.499984740745262"/>
      </bottom>
      <diagonal/>
    </border>
    <border>
      <left style="thin">
        <color theme="2" tint="-9.9948118533890809E-2"/>
      </left>
      <right style="thin">
        <color theme="2" tint="-9.9948118533890809E-2"/>
      </right>
      <top/>
      <bottom style="thin">
        <color theme="2" tint="-9.9948118533890809E-2"/>
      </bottom>
      <diagonal/>
    </border>
    <border>
      <left/>
      <right style="thin">
        <color theme="2" tint="-0.499984740745262"/>
      </right>
      <top/>
      <bottom/>
      <diagonal/>
    </border>
    <border>
      <left style="thin">
        <color theme="2" tint="-0.499984740745262"/>
      </left>
      <right/>
      <top/>
      <bottom/>
      <diagonal/>
    </border>
    <border>
      <left/>
      <right/>
      <top style="thin">
        <color theme="2" tint="-0.499984740745262"/>
      </top>
      <bottom/>
      <diagonal/>
    </border>
    <border>
      <left/>
      <right style="thin">
        <color theme="2" tint="-0.499984740745262"/>
      </right>
      <top style="thin">
        <color theme="2" tint="-0.499984740745262"/>
      </top>
      <bottom/>
      <diagonal/>
    </border>
    <border>
      <left/>
      <right style="thin">
        <color theme="2" tint="-0.499984740745262"/>
      </right>
      <top style="thin">
        <color indexed="64"/>
      </top>
      <bottom/>
      <diagonal/>
    </border>
    <border>
      <left style="thin">
        <color theme="2" tint="-0.499984740745262"/>
      </left>
      <right/>
      <top style="thin">
        <color indexed="64"/>
      </top>
      <bottom/>
      <diagonal/>
    </border>
    <border>
      <left style="thin">
        <color theme="2" tint="-0.499984740745262"/>
      </left>
      <right style="thin">
        <color theme="2" tint="-9.9948118533890809E-2"/>
      </right>
      <top/>
      <bottom style="thin">
        <color theme="2" tint="-9.9948118533890809E-2"/>
      </bottom>
      <diagonal/>
    </border>
    <border>
      <left style="thin">
        <color theme="2" tint="-0.499984740745262"/>
      </left>
      <right/>
      <top/>
      <bottom style="thin">
        <color theme="2" tint="-0.499984740745262"/>
      </bottom>
      <diagonal/>
    </border>
    <border>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s>
  <cellStyleXfs count="2">
    <xf numFmtId="0" fontId="0" fillId="0" borderId="0"/>
    <xf numFmtId="43" fontId="1" fillId="0" borderId="0" applyFont="0" applyFill="0" applyBorder="0" applyAlignment="0" applyProtection="0"/>
  </cellStyleXfs>
  <cellXfs count="167">
    <xf numFmtId="0" fontId="0" fillId="0" borderId="0" xfId="0"/>
    <xf numFmtId="37" fontId="2" fillId="2" borderId="0" xfId="0" applyNumberFormat="1" applyFont="1" applyFill="1" applyAlignment="1">
      <alignment vertical="center"/>
    </xf>
    <xf numFmtId="0" fontId="2" fillId="2" borderId="0" xfId="1" applyNumberFormat="1" applyFont="1" applyFill="1" applyAlignment="1"/>
    <xf numFmtId="164" fontId="3" fillId="0" borderId="0" xfId="1" applyNumberFormat="1" applyFont="1"/>
    <xf numFmtId="164" fontId="5" fillId="0" borderId="0" xfId="1" applyNumberFormat="1" applyFont="1" applyBorder="1"/>
    <xf numFmtId="164" fontId="6" fillId="0" borderId="0" xfId="1" applyNumberFormat="1" applyFont="1" applyBorder="1"/>
    <xf numFmtId="164" fontId="3" fillId="0" borderId="1" xfId="1" applyNumberFormat="1" applyFont="1" applyBorder="1"/>
    <xf numFmtId="164" fontId="7" fillId="0" borderId="1" xfId="1" applyNumberFormat="1" applyFont="1" applyBorder="1"/>
    <xf numFmtId="164" fontId="3" fillId="0" borderId="0" xfId="1" applyNumberFormat="1" applyFont="1" applyBorder="1"/>
    <xf numFmtId="164" fontId="4" fillId="0" borderId="0" xfId="1" applyNumberFormat="1" applyFont="1" applyBorder="1"/>
    <xf numFmtId="164" fontId="5" fillId="0" borderId="0" xfId="1" applyNumberFormat="1" applyFont="1"/>
    <xf numFmtId="164" fontId="6" fillId="0" borderId="0" xfId="1" applyNumberFormat="1" applyFont="1"/>
    <xf numFmtId="164" fontId="3" fillId="0" borderId="3" xfId="1" applyNumberFormat="1" applyFont="1" applyBorder="1"/>
    <xf numFmtId="164" fontId="7" fillId="0" borderId="3" xfId="1" applyNumberFormat="1" applyFont="1" applyBorder="1"/>
    <xf numFmtId="164" fontId="5" fillId="0" borderId="0" xfId="1" applyNumberFormat="1" applyFont="1" applyBorder="1" applyAlignment="1">
      <alignment horizontal="left"/>
    </xf>
    <xf numFmtId="164" fontId="3" fillId="0" borderId="2" xfId="1" applyNumberFormat="1" applyFont="1" applyBorder="1"/>
    <xf numFmtId="164" fontId="5" fillId="0" borderId="0" xfId="1" applyNumberFormat="1" applyFont="1" applyFill="1" applyBorder="1" applyAlignment="1">
      <alignment horizontal="left"/>
    </xf>
    <xf numFmtId="164" fontId="7" fillId="0" borderId="2" xfId="1" applyNumberFormat="1" applyFont="1" applyBorder="1"/>
    <xf numFmtId="164" fontId="6" fillId="0" borderId="0" xfId="1" applyNumberFormat="1" applyFont="1" applyFill="1" applyBorder="1"/>
    <xf numFmtId="0" fontId="0" fillId="0" borderId="4" xfId="0" applyBorder="1"/>
    <xf numFmtId="164" fontId="6" fillId="0" borderId="4" xfId="1" applyNumberFormat="1" applyFont="1" applyBorder="1"/>
    <xf numFmtId="164" fontId="7" fillId="0" borderId="5" xfId="1" applyNumberFormat="1" applyFont="1" applyBorder="1"/>
    <xf numFmtId="164" fontId="4" fillId="0" borderId="2" xfId="1" applyNumberFormat="1" applyFont="1" applyBorder="1"/>
    <xf numFmtId="164" fontId="4" fillId="0" borderId="8" xfId="1" applyNumberFormat="1" applyFont="1" applyBorder="1"/>
    <xf numFmtId="164" fontId="3" fillId="0" borderId="10" xfId="1" applyNumberFormat="1" applyFont="1" applyBorder="1"/>
    <xf numFmtId="164" fontId="7" fillId="0" borderId="10" xfId="1" applyNumberFormat="1" applyFont="1" applyBorder="1"/>
    <xf numFmtId="164" fontId="7" fillId="0" borderId="9" xfId="1" applyNumberFormat="1" applyFont="1" applyBorder="1"/>
    <xf numFmtId="0" fontId="0" fillId="0" borderId="1" xfId="0" applyBorder="1"/>
    <xf numFmtId="164" fontId="3" fillId="0" borderId="3" xfId="1" applyNumberFormat="1" applyFont="1" applyFill="1" applyBorder="1" applyAlignment="1">
      <alignment horizontal="left"/>
    </xf>
    <xf numFmtId="164" fontId="7" fillId="0" borderId="13" xfId="1" applyNumberFormat="1" applyFont="1" applyBorder="1"/>
    <xf numFmtId="164" fontId="3" fillId="0" borderId="10" xfId="1" applyNumberFormat="1" applyFont="1" applyBorder="1" applyAlignment="1">
      <alignment horizontal="left"/>
    </xf>
    <xf numFmtId="164" fontId="3" fillId="0" borderId="1" xfId="1" applyNumberFormat="1" applyFont="1" applyBorder="1" applyAlignment="1">
      <alignment horizontal="left"/>
    </xf>
    <xf numFmtId="0" fontId="0" fillId="0" borderId="13" xfId="0" applyBorder="1"/>
    <xf numFmtId="164" fontId="6" fillId="0" borderId="14" xfId="1" applyNumberFormat="1" applyFont="1" applyFill="1" applyBorder="1"/>
    <xf numFmtId="164" fontId="6" fillId="0" borderId="13" xfId="1" applyNumberFormat="1" applyFont="1" applyFill="1" applyBorder="1"/>
    <xf numFmtId="164" fontId="6" fillId="0" borderId="8" xfId="1" applyNumberFormat="1" applyFont="1" applyFill="1" applyBorder="1"/>
    <xf numFmtId="164" fontId="3" fillId="0" borderId="10" xfId="1" applyNumberFormat="1" applyFont="1" applyFill="1" applyBorder="1" applyAlignment="1">
      <alignment horizontal="left"/>
    </xf>
    <xf numFmtId="164" fontId="6" fillId="0" borderId="3" xfId="1" applyNumberFormat="1" applyFont="1" applyFill="1" applyBorder="1"/>
    <xf numFmtId="164" fontId="6" fillId="0" borderId="5" xfId="1" applyNumberFormat="1" applyFont="1" applyFill="1" applyBorder="1"/>
    <xf numFmtId="0" fontId="0" fillId="0" borderId="0" xfId="0" applyAlignment="1">
      <alignment horizontal="right"/>
    </xf>
    <xf numFmtId="164" fontId="5" fillId="0" borderId="0" xfId="1" applyNumberFormat="1" applyFont="1" applyFill="1" applyBorder="1"/>
    <xf numFmtId="164" fontId="7" fillId="0" borderId="8" xfId="1" applyNumberFormat="1" applyFont="1" applyBorder="1"/>
    <xf numFmtId="164" fontId="8" fillId="0" borderId="0" xfId="1" applyNumberFormat="1" applyFont="1" applyBorder="1"/>
    <xf numFmtId="10" fontId="8" fillId="0" borderId="0" xfId="1" applyNumberFormat="1" applyFont="1" applyBorder="1"/>
    <xf numFmtId="0" fontId="8" fillId="0" borderId="2" xfId="1" applyNumberFormat="1" applyFont="1" applyBorder="1"/>
    <xf numFmtId="0" fontId="9" fillId="0" borderId="2" xfId="0" applyFont="1" applyBorder="1"/>
    <xf numFmtId="164" fontId="8" fillId="0" borderId="1" xfId="1" applyNumberFormat="1" applyFont="1" applyBorder="1"/>
    <xf numFmtId="164" fontId="8" fillId="0" borderId="0" xfId="1" applyNumberFormat="1" applyFont="1" applyBorder="1" applyAlignment="1">
      <alignment horizontal="right"/>
    </xf>
    <xf numFmtId="165" fontId="6" fillId="0" borderId="0" xfId="1" applyNumberFormat="1" applyFont="1" applyBorder="1"/>
    <xf numFmtId="164" fontId="6" fillId="0" borderId="14" xfId="1" applyNumberFormat="1" applyFont="1" applyBorder="1"/>
    <xf numFmtId="2" fontId="7" fillId="0" borderId="1" xfId="1" applyNumberFormat="1" applyFont="1" applyBorder="1"/>
    <xf numFmtId="2" fontId="7" fillId="0" borderId="10" xfId="1" applyNumberFormat="1" applyFont="1" applyBorder="1"/>
    <xf numFmtId="10" fontId="8" fillId="0" borderId="2" xfId="1" applyNumberFormat="1" applyFont="1" applyBorder="1"/>
    <xf numFmtId="0" fontId="11" fillId="3" borderId="0" xfId="0" applyFont="1" applyFill="1"/>
    <xf numFmtId="0" fontId="10" fillId="3" borderId="0" xfId="0" applyFont="1" applyFill="1"/>
    <xf numFmtId="0" fontId="0" fillId="3" borderId="0" xfId="0" applyFill="1"/>
    <xf numFmtId="10" fontId="8" fillId="0" borderId="4" xfId="1" applyNumberFormat="1" applyFont="1" applyBorder="1"/>
    <xf numFmtId="10" fontId="8" fillId="0" borderId="1" xfId="1" applyNumberFormat="1" applyFont="1" applyBorder="1"/>
    <xf numFmtId="10" fontId="8" fillId="0" borderId="11" xfId="1" applyNumberFormat="1" applyFont="1" applyBorder="1"/>
    <xf numFmtId="2" fontId="8" fillId="0" borderId="0" xfId="1" applyNumberFormat="1" applyFont="1" applyBorder="1"/>
    <xf numFmtId="2" fontId="8" fillId="0" borderId="1" xfId="1" applyNumberFormat="1" applyFont="1" applyBorder="1"/>
    <xf numFmtId="2" fontId="8" fillId="0" borderId="4" xfId="1" applyNumberFormat="1" applyFont="1" applyBorder="1"/>
    <xf numFmtId="2" fontId="8" fillId="0" borderId="11" xfId="1" applyNumberFormat="1" applyFont="1" applyBorder="1"/>
    <xf numFmtId="10" fontId="8" fillId="0" borderId="6" xfId="1" applyNumberFormat="1" applyFont="1" applyBorder="1"/>
    <xf numFmtId="164" fontId="8" fillId="0" borderId="4" xfId="1" applyNumberFormat="1" applyFont="1" applyBorder="1"/>
    <xf numFmtId="164" fontId="8" fillId="0" borderId="11" xfId="1" applyNumberFormat="1" applyFont="1" applyBorder="1"/>
    <xf numFmtId="164" fontId="8" fillId="0" borderId="6" xfId="1" applyNumberFormat="1" applyFont="1" applyBorder="1"/>
    <xf numFmtId="164" fontId="5" fillId="0" borderId="4" xfId="0" applyNumberFormat="1" applyFont="1" applyBorder="1"/>
    <xf numFmtId="164" fontId="5" fillId="0" borderId="0" xfId="0" applyNumberFormat="1" applyFont="1"/>
    <xf numFmtId="164" fontId="5" fillId="0" borderId="11" xfId="0" applyNumberFormat="1" applyFont="1" applyBorder="1"/>
    <xf numFmtId="164" fontId="5" fillId="0" borderId="1" xfId="0" applyNumberFormat="1" applyFont="1" applyBorder="1"/>
    <xf numFmtId="164" fontId="7" fillId="0" borderId="0" xfId="1" applyNumberFormat="1" applyFont="1" applyBorder="1"/>
    <xf numFmtId="164" fontId="7" fillId="0" borderId="6" xfId="1" applyNumberFormat="1" applyFont="1" applyBorder="1"/>
    <xf numFmtId="2" fontId="7" fillId="0" borderId="11" xfId="1" applyNumberFormat="1" applyFont="1" applyBorder="1"/>
    <xf numFmtId="2" fontId="7" fillId="0" borderId="12" xfId="1" applyNumberFormat="1" applyFont="1" applyBorder="1"/>
    <xf numFmtId="164" fontId="7" fillId="0" borderId="7" xfId="1" applyNumberFormat="1" applyFont="1" applyBorder="1"/>
    <xf numFmtId="10" fontId="6" fillId="0" borderId="1" xfId="1" applyNumberFormat="1" applyFont="1" applyBorder="1"/>
    <xf numFmtId="10" fontId="6" fillId="0" borderId="11" xfId="1" applyNumberFormat="1" applyFont="1" applyBorder="1"/>
    <xf numFmtId="37" fontId="2" fillId="2" borderId="11" xfId="0" applyNumberFormat="1" applyFont="1" applyFill="1" applyBorder="1" applyAlignment="1">
      <alignment vertical="center"/>
    </xf>
    <xf numFmtId="0" fontId="2" fillId="2" borderId="1" xfId="1" applyNumberFormat="1" applyFont="1" applyFill="1" applyBorder="1" applyAlignment="1"/>
    <xf numFmtId="164" fontId="3" fillId="0" borderId="6" xfId="1" applyNumberFormat="1" applyFont="1" applyBorder="1"/>
    <xf numFmtId="0" fontId="0" fillId="0" borderId="14" xfId="0" applyBorder="1"/>
    <xf numFmtId="164" fontId="5" fillId="0" borderId="4" xfId="1" applyNumberFormat="1" applyFont="1" applyBorder="1" applyAlignment="1">
      <alignment horizontal="left"/>
    </xf>
    <xf numFmtId="10" fontId="8" fillId="0" borderId="13" xfId="1" applyNumberFormat="1" applyFont="1" applyBorder="1"/>
    <xf numFmtId="10" fontId="8" fillId="0" borderId="14" xfId="1" applyNumberFormat="1" applyFont="1" applyBorder="1"/>
    <xf numFmtId="164" fontId="5" fillId="0" borderId="4" xfId="1" applyNumberFormat="1" applyFont="1" applyBorder="1"/>
    <xf numFmtId="10" fontId="6" fillId="0" borderId="13" xfId="1" applyNumberFormat="1" applyFont="1" applyBorder="1"/>
    <xf numFmtId="164" fontId="5" fillId="0" borderId="4" xfId="1" applyNumberFormat="1" applyFont="1" applyFill="1" applyBorder="1"/>
    <xf numFmtId="2" fontId="8" fillId="0" borderId="13" xfId="1" applyNumberFormat="1" applyFont="1" applyBorder="1"/>
    <xf numFmtId="2" fontId="8" fillId="0" borderId="14" xfId="1" applyNumberFormat="1" applyFont="1" applyBorder="1"/>
    <xf numFmtId="164" fontId="8" fillId="0" borderId="13" xfId="1" applyNumberFormat="1" applyFont="1" applyBorder="1"/>
    <xf numFmtId="164" fontId="8" fillId="0" borderId="14" xfId="1" applyNumberFormat="1" applyFont="1" applyBorder="1" applyAlignment="1">
      <alignment horizontal="right"/>
    </xf>
    <xf numFmtId="164" fontId="5" fillId="0" borderId="6" xfId="1" applyNumberFormat="1" applyFont="1" applyFill="1" applyBorder="1"/>
    <xf numFmtId="10" fontId="8" fillId="0" borderId="8" xfId="1" applyNumberFormat="1" applyFont="1" applyBorder="1"/>
    <xf numFmtId="164" fontId="6" fillId="0" borderId="2" xfId="1" applyNumberFormat="1" applyFont="1" applyBorder="1"/>
    <xf numFmtId="164" fontId="7" fillId="0" borderId="4" xfId="1" applyNumberFormat="1" applyFont="1" applyBorder="1"/>
    <xf numFmtId="164" fontId="8" fillId="0" borderId="2" xfId="1" applyNumberFormat="1" applyFont="1" applyBorder="1"/>
    <xf numFmtId="164" fontId="6" fillId="0" borderId="4" xfId="1" applyNumberFormat="1" applyFont="1" applyFill="1" applyBorder="1"/>
    <xf numFmtId="164" fontId="8" fillId="0" borderId="4" xfId="1" applyNumberFormat="1" applyFont="1" applyFill="1" applyBorder="1"/>
    <xf numFmtId="164" fontId="8" fillId="0" borderId="0" xfId="1" applyNumberFormat="1" applyFont="1" applyFill="1" applyBorder="1"/>
    <xf numFmtId="164" fontId="7" fillId="0" borderId="11" xfId="1" applyNumberFormat="1" applyFont="1" applyBorder="1"/>
    <xf numFmtId="164" fontId="6" fillId="0" borderId="6" xfId="1" applyNumberFormat="1" applyFont="1" applyFill="1" applyBorder="1"/>
    <xf numFmtId="164" fontId="6" fillId="0" borderId="2" xfId="1" applyNumberFormat="1" applyFont="1" applyFill="1" applyBorder="1"/>
    <xf numFmtId="164" fontId="6" fillId="0" borderId="11" xfId="1" applyNumberFormat="1" applyFont="1" applyBorder="1"/>
    <xf numFmtId="164" fontId="3" fillId="0" borderId="4" xfId="0" applyNumberFormat="1" applyFont="1" applyBorder="1"/>
    <xf numFmtId="164" fontId="3" fillId="0" borderId="0" xfId="0" applyNumberFormat="1" applyFont="1"/>
    <xf numFmtId="0" fontId="5" fillId="0" borderId="0" xfId="0" applyFont="1"/>
    <xf numFmtId="164" fontId="5" fillId="0" borderId="6" xfId="0" applyNumberFormat="1" applyFont="1" applyBorder="1"/>
    <xf numFmtId="164" fontId="5" fillId="0" borderId="2" xfId="0" applyNumberFormat="1" applyFont="1" applyBorder="1"/>
    <xf numFmtId="0" fontId="5" fillId="0" borderId="0" xfId="0" applyFont="1" applyAlignment="1">
      <alignment horizontal="right"/>
    </xf>
    <xf numFmtId="164" fontId="5" fillId="0" borderId="12" xfId="0" applyNumberFormat="1" applyFont="1" applyBorder="1"/>
    <xf numFmtId="0" fontId="2" fillId="2" borderId="0" xfId="1" applyNumberFormat="1" applyFont="1" applyFill="1" applyBorder="1" applyAlignment="1"/>
    <xf numFmtId="0" fontId="0" fillId="0" borderId="0" xfId="0"/>
    <xf numFmtId="14" fontId="0" fillId="0" borderId="0" xfId="0" applyNumberFormat="1" applyAlignment="1">
      <alignment horizontal="left"/>
    </xf>
    <xf numFmtId="0" fontId="0" fillId="0" borderId="0" xfId="0" applyAlignment="1">
      <alignment horizontal="left"/>
    </xf>
    <xf numFmtId="0" fontId="13" fillId="3" borderId="0" xfId="0" applyFont="1" applyFill="1" applyAlignment="1">
      <alignment horizontal="left"/>
    </xf>
    <xf numFmtId="0" fontId="12" fillId="3" borderId="0" xfId="0" applyFont="1" applyFill="1"/>
    <xf numFmtId="37" fontId="2" fillId="2" borderId="0" xfId="0" applyNumberFormat="1" applyFont="1" applyFill="1" applyBorder="1" applyAlignment="1">
      <alignment vertical="center"/>
    </xf>
    <xf numFmtId="0" fontId="0" fillId="0" borderId="15" xfId="0" applyBorder="1"/>
    <xf numFmtId="37" fontId="2" fillId="2" borderId="0" xfId="0" applyNumberFormat="1" applyFont="1" applyFill="1" applyBorder="1" applyAlignment="1">
      <alignment horizontal="center" vertical="center"/>
    </xf>
    <xf numFmtId="0" fontId="5" fillId="0" borderId="16" xfId="0" applyFont="1" applyBorder="1" applyAlignment="1">
      <alignment horizontal="center"/>
    </xf>
    <xf numFmtId="2" fontId="8" fillId="0" borderId="17" xfId="1" applyNumberFormat="1" applyFont="1" applyBorder="1"/>
    <xf numFmtId="2" fontId="8" fillId="0" borderId="18" xfId="1" applyNumberFormat="1" applyFont="1" applyBorder="1"/>
    <xf numFmtId="0" fontId="2" fillId="2" borderId="19" xfId="1" applyNumberFormat="1" applyFont="1" applyFill="1" applyBorder="1" applyAlignment="1"/>
    <xf numFmtId="0" fontId="2" fillId="2" borderId="20" xfId="1" applyNumberFormat="1" applyFont="1" applyFill="1" applyBorder="1" applyAlignment="1"/>
    <xf numFmtId="164" fontId="5" fillId="0" borderId="16" xfId="0" applyNumberFormat="1" applyFont="1" applyBorder="1" applyAlignment="1">
      <alignment horizontal="right"/>
    </xf>
    <xf numFmtId="10" fontId="8" fillId="0" borderId="21" xfId="1" applyNumberFormat="1" applyFont="1" applyBorder="1"/>
    <xf numFmtId="168" fontId="7" fillId="0" borderId="0" xfId="1" applyNumberFormat="1" applyFont="1" applyBorder="1"/>
    <xf numFmtId="37" fontId="2" fillId="2" borderId="22" xfId="0" applyNumberFormat="1" applyFont="1" applyFill="1" applyBorder="1" applyAlignment="1">
      <alignment vertical="center"/>
    </xf>
    <xf numFmtId="0" fontId="0" fillId="0" borderId="18" xfId="0" applyBorder="1"/>
    <xf numFmtId="0" fontId="0" fillId="0" borderId="0" xfId="0" applyBorder="1"/>
    <xf numFmtId="37" fontId="2" fillId="2" borderId="22" xfId="0" applyNumberFormat="1" applyFont="1" applyFill="1" applyBorder="1" applyAlignment="1">
      <alignment horizontal="center" vertical="center"/>
    </xf>
    <xf numFmtId="0" fontId="5" fillId="0" borderId="23" xfId="0" applyFont="1" applyBorder="1" applyAlignment="1">
      <alignment horizontal="center"/>
    </xf>
    <xf numFmtId="164" fontId="3" fillId="0" borderId="18" xfId="1" applyNumberFormat="1" applyFont="1" applyBorder="1"/>
    <xf numFmtId="0" fontId="2" fillId="2" borderId="17" xfId="1" applyNumberFormat="1" applyFont="1" applyFill="1" applyBorder="1" applyAlignment="1"/>
    <xf numFmtId="0" fontId="0" fillId="0" borderId="17" xfId="0" applyBorder="1"/>
    <xf numFmtId="164" fontId="4" fillId="0" borderId="17" xfId="1" applyNumberFormat="1" applyFont="1" applyBorder="1"/>
    <xf numFmtId="164" fontId="8" fillId="0" borderId="17" xfId="1" applyNumberFormat="1" applyFont="1" applyBorder="1"/>
    <xf numFmtId="164" fontId="7" fillId="0" borderId="17" xfId="1" applyNumberFormat="1" applyFont="1" applyBorder="1"/>
    <xf numFmtId="0" fontId="18" fillId="0" borderId="24" xfId="0" applyFont="1" applyBorder="1"/>
    <xf numFmtId="0" fontId="0" fillId="0" borderId="25" xfId="0" applyBorder="1"/>
    <xf numFmtId="9" fontId="0" fillId="0" borderId="15" xfId="0" applyNumberFormat="1" applyBorder="1"/>
    <xf numFmtId="9" fontId="0" fillId="0" borderId="25" xfId="0" applyNumberFormat="1" applyBorder="1"/>
    <xf numFmtId="0" fontId="0" fillId="0" borderId="26" xfId="0" applyBorder="1"/>
    <xf numFmtId="0" fontId="0" fillId="0" borderId="19" xfId="0" applyBorder="1"/>
    <xf numFmtId="0" fontId="0" fillId="0" borderId="20" xfId="0" applyBorder="1"/>
    <xf numFmtId="0" fontId="5" fillId="0" borderId="18" xfId="0" applyFont="1" applyBorder="1"/>
    <xf numFmtId="0" fontId="5" fillId="0" borderId="0" xfId="0" applyFont="1" applyBorder="1" applyAlignment="1">
      <alignment horizontal="right"/>
    </xf>
    <xf numFmtId="0" fontId="3" fillId="0" borderId="18" xfId="0" applyFont="1" applyBorder="1"/>
    <xf numFmtId="0" fontId="5" fillId="0" borderId="18" xfId="0" applyFont="1" applyBorder="1" applyAlignment="1">
      <alignment horizontal="left"/>
    </xf>
    <xf numFmtId="0" fontId="3" fillId="0" borderId="24" xfId="0" applyFont="1" applyBorder="1"/>
    <xf numFmtId="164" fontId="7" fillId="0" borderId="15" xfId="1" applyNumberFormat="1" applyFont="1" applyBorder="1"/>
    <xf numFmtId="14" fontId="5" fillId="0" borderId="0" xfId="0" applyNumberFormat="1" applyFont="1" applyBorder="1" applyAlignment="1">
      <alignment horizontal="right"/>
    </xf>
    <xf numFmtId="10" fontId="8" fillId="0" borderId="18" xfId="1" applyNumberFormat="1" applyFont="1" applyBorder="1"/>
    <xf numFmtId="0" fontId="5" fillId="0" borderId="17" xfId="0" applyFont="1" applyBorder="1" applyAlignment="1">
      <alignment horizontal="right"/>
    </xf>
    <xf numFmtId="164" fontId="6" fillId="0" borderId="17" xfId="1" applyNumberFormat="1" applyFont="1" applyBorder="1"/>
    <xf numFmtId="164" fontId="6" fillId="0" borderId="17" xfId="1" applyNumberFormat="1" applyFont="1" applyBorder="1" applyAlignment="1">
      <alignment horizontal="right"/>
    </xf>
    <xf numFmtId="169" fontId="6" fillId="0" borderId="17" xfId="1" applyNumberFormat="1" applyFont="1" applyBorder="1"/>
    <xf numFmtId="9" fontId="6" fillId="0" borderId="17" xfId="1" applyNumberFormat="1" applyFont="1" applyBorder="1"/>
    <xf numFmtId="164" fontId="5" fillId="0" borderId="17" xfId="0" applyNumberFormat="1" applyFont="1" applyBorder="1" applyAlignment="1">
      <alignment horizontal="right"/>
    </xf>
    <xf numFmtId="164" fontId="3" fillId="0" borderId="17" xfId="0" applyNumberFormat="1" applyFont="1" applyBorder="1" applyAlignment="1">
      <alignment horizontal="right"/>
    </xf>
    <xf numFmtId="10" fontId="5" fillId="0" borderId="17" xfId="0" applyNumberFormat="1" applyFont="1" applyBorder="1" applyAlignment="1">
      <alignment horizontal="right"/>
    </xf>
    <xf numFmtId="43" fontId="5" fillId="0" borderId="25" xfId="0" applyNumberFormat="1" applyFont="1" applyBorder="1" applyAlignment="1">
      <alignment horizontal="right"/>
    </xf>
    <xf numFmtId="164" fontId="5" fillId="0" borderId="18" xfId="1" applyNumberFormat="1" applyFont="1" applyBorder="1"/>
    <xf numFmtId="164" fontId="5" fillId="0" borderId="24" xfId="1" applyNumberFormat="1" applyFont="1" applyBorder="1"/>
    <xf numFmtId="0" fontId="0" fillId="0" borderId="0" xfId="0" applyAlignment="1">
      <alignment wrapText="1"/>
    </xf>
    <xf numFmtId="164" fontId="6" fillId="0" borderId="17" xfId="1" applyNumberFormat="1" applyFont="1" applyFill="1" applyBorder="1"/>
  </cellXfs>
  <cellStyles count="2">
    <cellStyle name="Comma" xfId="1" builtinId="3"/>
    <cellStyle name="Normal" xfId="0" builtinId="0"/>
  </cellStyles>
  <dxfs count="0"/>
  <tableStyles count="0" defaultTableStyle="TableStyleMedium2" defaultPivotStyle="PivotStyleLight16"/>
  <colors>
    <mruColors>
      <color rgb="FF0033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142874</xdr:colOff>
      <xdr:row>0</xdr:row>
      <xdr:rowOff>171450</xdr:rowOff>
    </xdr:from>
    <xdr:to>
      <xdr:col>3</xdr:col>
      <xdr:colOff>25529</xdr:colOff>
      <xdr:row>3</xdr:row>
      <xdr:rowOff>28575</xdr:rowOff>
    </xdr:to>
    <xdr:pic>
      <xdr:nvPicPr>
        <xdr:cNvPr id="9" name="Picture 8">
          <a:extLst>
            <a:ext uri="{FF2B5EF4-FFF2-40B4-BE49-F238E27FC236}">
              <a16:creationId xmlns:a16="http://schemas.microsoft.com/office/drawing/2014/main" id="{9FC97D19-8011-EFC6-F84A-E7FC8ADFE9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2874" y="171450"/>
          <a:ext cx="1711455"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Tim Nguyen" id="{C44259D0-522D-4E8B-A167-570A2D87A088}" userId="S::tim.nguyen@simonds.com.au::72366ed0-dba2-4203-90d1-91f42db14a1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15" dT="2026-05-03T02:19:37.46" personId="{C44259D0-522D-4E8B-A167-570A2D87A088}" id="{CC25524D-F8AB-4957-900B-CDF3B8774F9B}">
    <text>=Cash + Short Term Investments + Investments</text>
  </threadedComment>
  <threadedComment ref="B24" dT="2026-04-20T06:11:55.54" personId="{C44259D0-522D-4E8B-A167-570A2D87A088}" id="{055D5F0C-0A02-43EA-950D-294DE5635375}">
    <text>= (Current Revenue / Prior Revenue) - 1</text>
  </threadedComment>
  <threadedComment ref="H24" dT="2026-04-21T13:27:45.87" personId="{C44259D0-522D-4E8B-A167-570A2D87A088}" id="{9642E61D-A12C-4FC2-9EE1-52ABBE0D2278}">
    <text>Grey Sky = 6%
Base Case = CAGR 9.47%
Blue Sky = 14%</text>
  </threadedComment>
  <threadedComment ref="B26" dT="2026-04-20T06:11:30.21" personId="{C44259D0-522D-4E8B-A167-570A2D87A088}" id="{C2BC33A5-D0C0-4E4B-9056-CDED9D1C7B83}">
    <text>= Gross Profit / Revenue</text>
  </threadedComment>
  <threadedComment ref="B27" dT="2026-04-20T12:25:56.54" personId="{C44259D0-522D-4E8B-A167-570A2D87A088}" id="{7DFCA7F6-9A3C-4057-B292-C36464C66DAF}">
    <text xml:space="preserve">= COGS / Revenue </text>
  </threadedComment>
  <threadedComment ref="B28" dT="2026-04-20T12:26:12.59" personId="{C44259D0-522D-4E8B-A167-570A2D87A088}" id="{13F13D2F-A08A-4111-A835-FE6FBD97ECB9}">
    <text xml:space="preserve">= SG&amp;A / Revenue </text>
  </threadedComment>
  <threadedComment ref="B29" dT="2026-04-20T12:26:33.59" personId="{C44259D0-522D-4E8B-A167-570A2D87A088}" id="{5B93EEC1-D378-4268-ACFA-5729897E4E79}">
    <text xml:space="preserve">= R&amp;D / Revenue </text>
  </threadedComment>
  <threadedComment ref="B30" dT="2026-04-20T12:26:39.65" personId="{C44259D0-522D-4E8B-A167-570A2D87A088}" id="{DA9B49CD-FA7F-4574-A934-93ED6001B351}">
    <text xml:space="preserve">= EBIT / Revenue </text>
  </threadedComment>
  <threadedComment ref="B31" dT="2026-04-20T12:26:48.35" personId="{C44259D0-522D-4E8B-A167-570A2D87A088}" id="{88DB0522-55D8-4812-B813-124BB1AFEA83}">
    <text xml:space="preserve">= Net Income / Revenue </text>
  </threadedComment>
  <threadedComment ref="B33" dT="2026-04-20T06:54:21.17" personId="{C44259D0-522D-4E8B-A167-570A2D87A088}" id="{D444E2BF-F590-40CF-954C-ED8B52E75058}">
    <text xml:space="preserve"> Taxes / EBT — nm (not meaningful) in loss years. Use statutory rate of 21% as forecast assumption 
= Taxes / EBT </text>
  </threadedComment>
  <threadedComment ref="B35" dT="2026-04-20T12:27:04.55" personId="{C44259D0-522D-4E8B-A167-570A2D87A088}" id="{EA8FA246-8764-48C3-8B1F-AA45006D8E47}">
    <text xml:space="preserve">= Capex / Revenue </text>
  </threadedComment>
  <threadedComment ref="B36" dT="2026-04-20T12:27:28.59" personId="{C44259D0-522D-4E8B-A167-570A2D87A088}" id="{A0EBDB2E-4E83-4F19-B476-BA22DEDFA8E7}">
    <text xml:space="preserve">= Capex / PP&amp;E </text>
  </threadedComment>
  <threadedComment ref="B37" dT="2026-04-20T12:27:32.69" personId="{C44259D0-522D-4E8B-A167-570A2D87A088}" id="{097CDB56-F2D4-4881-BC19-7EDB46F7A35B}">
    <text xml:space="preserve">= D&amp;A / Revenue </text>
  </threadedComment>
  <threadedComment ref="B39" dT="2026-04-20T12:27:37.61" personId="{C44259D0-522D-4E8B-A167-570A2D87A088}" id="{2FAB5614-E802-466C-B7F7-A7998FC509FF}">
    <text xml:space="preserve">= Accounts Receivable / Revenue × 365 </text>
  </threadedComment>
  <threadedComment ref="H39" dT="2026-04-21T13:41:03.84" personId="{C44259D0-522D-4E8B-A167-570A2D87A088}" id="{FCBF5430-CC16-4FA7-A328-F055805876BF}">
    <text>Using 5 Year Average</text>
  </threadedComment>
  <threadedComment ref="B40" dT="2026-04-20T12:27:42.01" personId="{C44259D0-522D-4E8B-A167-570A2D87A088}" id="{FD6A5B35-3131-4842-8F2D-3FB1F51BA0DC}">
    <text xml:space="preserve">= Inventory / COGS × 365 </text>
  </threadedComment>
  <threadedComment ref="H40" dT="2026-05-03T05:34:57.69" personId="{C44259D0-522D-4E8B-A167-570A2D87A088}" id="{228F1EA9-FD17-4081-80AE-CD9C4A3B146F}">
    <text>Grey Sky = Using Boeing 3 Year DIO Average
Base Case = Matching Airbus DIO
Blue Sky = Industry Average of 131</text>
  </threadedComment>
  <threadedComment ref="B41" dT="2026-04-20T12:27:49.83" personId="{C44259D0-522D-4E8B-A167-570A2D87A088}" id="{0D16BCCB-0174-46A1-AC59-A92F3BA51CAF}">
    <text xml:space="preserve">= Accounts Payable / COGS × 365 </text>
  </threadedComment>
  <threadedComment ref="H41" dT="2026-04-21T13:41:14.10" personId="{C44259D0-522D-4E8B-A167-570A2D87A088}" id="{7BF5A409-3B9B-4BF6-9926-A316C2332D1A}">
    <text xml:space="preserve">Using 5 Year Average
</text>
  </threadedComment>
  <threadedComment ref="B42" dT="2026-04-20T12:28:03.77" personId="{C44259D0-522D-4E8B-A167-570A2D87A088}" id="{B185F72E-53E4-443E-AD15-F5590811DD24}">
    <text xml:space="preserve">= Advances &amp; Progress Billings / Revenue </text>
  </threadedComment>
  <threadedComment ref="B44" dT="2026-04-20T10:45:24.00" personId="{C44259D0-522D-4E8B-A167-570A2D87A088}" id="{9D6FFE3E-6A80-4A18-BAE1-FF9B3DF7F127}">
    <text xml:space="preserve">Net Debt = Short-term Debt + Long-term Debt − Cash − Short-term Investments
</text>
  </threadedComment>
  <threadedComment ref="B45" dT="2026-04-20T11:05:41.99" personId="{C44259D0-522D-4E8B-A167-570A2D87A088}" id="{0ACD9A4E-A6CB-4807-A557-5CCDA362CE4D}">
    <text xml:space="preserve">nm = not meaningful in loss years where EBITA is negative </text>
  </threadedComment>
  <threadedComment ref="B46" dT="2026-04-20T11:10:34.12" personId="{C44259D0-522D-4E8B-A167-570A2D87A088}" id="{2F685951-B4C8-4575-98BE-C71E921F6006}">
    <text xml:space="preserve">nm = not meaningful in loss years where EBITA is negative 
</text>
  </threadedComment>
  <threadedComment ref="B47" dT="2026-04-20T12:28:11.45" personId="{C44259D0-522D-4E8B-A167-570A2D87A088}" id="{735ECB3F-6B00-471D-B528-CF78FA9D8DCB}">
    <text xml:space="preserve">= Interest Expense / Total Debt </text>
  </threadedComment>
  <threadedComment ref="H47" dT="2026-04-25T05:57:40.86" personId="{C44259D0-522D-4E8B-A167-570A2D87A088}" id="{723A0937-6AEF-49F9-A01F-764A700BA8DF}">
    <text>Using 3 Year Average</text>
  </threadedComment>
  <threadedComment ref="H60" dT="2026-04-22T11:42:26.59" personId="{C44259D0-522D-4E8B-A167-570A2D87A088}" id="{E020734A-44B8-41B1-9F60-59BA644A2BE0}">
    <text>Using 3 Year Average</text>
  </threadedComment>
  <threadedComment ref="H62" dT="2026-04-26T14:51:00.30" personId="{C44259D0-522D-4E8B-A167-570A2D87A088}" id="{4444B2F3-5D63-47A9-821B-BE774CC0C6CD}">
    <text>Using 3 Year Average</text>
  </threadedComment>
  <threadedComment ref="H63" dT="2026-04-26T14:50:35.99" personId="{C44259D0-522D-4E8B-A167-570A2D87A088}" id="{31FA1DCD-E8AF-4359-80DF-460D0C1B3788}">
    <text>=Interest % of Debt * Total Debt</text>
  </threadedComment>
  <threadedComment ref="H65" dT="2026-04-26T01:47:47.12" personId="{C44259D0-522D-4E8B-A167-570A2D87A088}" id="{7EEE51B2-23C8-4486-A6A9-82B3A58CF94D}">
    <text>=EBT * Tax Rate</text>
  </threadedComment>
  <threadedComment ref="H69" dT="2026-04-22T12:01:08.82" personId="{C44259D0-522D-4E8B-A167-570A2D87A088}" id="{BF7762D6-2D19-4E5A-A42F-48F1758CDBF9}">
    <text xml:space="preserve">"Fixed annual dividend of $345M based on Boeing's 6.00% Series A Mandatory Convertible Preferred Stock issued October 2024. Calculated as $5,750M liquidation preference × 6.00% dividend rate. Mandatory conversion to common shares on or about October 15, 2027. 2027E reflects approximately half year dividend (~$173M) and zero thereafter." </text>
  </threadedComment>
  <threadedComment ref="I69" dT="2026-04-22T12:01:17.84" personId="{C44259D0-522D-4E8B-A167-570A2D87A088}" id="{BD0AADAC-A367-4E56-B134-8D85E5D1F39A}">
    <text xml:space="preserve">"Fixed annual dividend of $345M based on Boeing's 6.00% Series A Mandatory Convertible Preferred Stock issued October 2024. Calculated as $5,750M liquidation preference × 6.00% dividend rate. Mandatory conversion to common shares on or about October 15, 2027. 2027E reflects approximately half year dividend (~$173M) and zero thereafter." </text>
  </threadedComment>
  <threadedComment ref="B71" dT="2026-04-20T11:23:37.43" personId="{C44259D0-522D-4E8B-A167-570A2D87A088}" id="{8408FF94-C482-4CF7-B3B6-E64B1A7C83FA}">
    <text xml:space="preserve">Disclosed as basic weighted average common shares outstanding in the EPS footnote of the 10-K </text>
  </threadedComment>
  <threadedComment ref="B73" dT="2026-04-20T11:23:42.11" personId="{C44259D0-522D-4E8B-A167-570A2D87A088}" id="{D28620DE-7806-4031-A94C-5A70B9745900}">
    <text xml:space="preserve">Disclosed as diluted weighted average common shares outstanding in the EPS footnote of the 10-K 
</text>
  </threadedComment>
  <threadedComment ref="H78" dT="2026-04-26T01:20:27.54" personId="{C44259D0-522D-4E8B-A167-570A2D87A088}" id="{A220A4AC-D09C-42CC-AAFF-A3D7CABEAF78}">
    <text>Holding flat as I have no specific assumptions</text>
  </threadedComment>
  <threadedComment ref="H79" dT="2026-04-26T01:30:56.96" personId="{C44259D0-522D-4E8B-A167-570A2D87A088}" id="{55835481-3D66-47BC-A0B4-92FC7117D04A}">
    <text xml:space="preserve">2026 AR = (5yr Average DSO / 365) × 2026 Revenue
</text>
  </threadedComment>
  <threadedComment ref="H80" dT="2026-04-26T01:34:40.27" personId="{C44259D0-522D-4E8B-A167-570A2D87A088}" id="{F517D032-B01D-4DF2-B2E1-1155B2E900C9}">
    <text>Using 5 Year Average</text>
  </threadedComment>
  <threadedComment ref="H82" dT="2026-04-26T01:39:48.72" personId="{C44259D0-522D-4E8B-A167-570A2D87A088}" id="{2A6522A2-ECFE-452E-9069-22BB49335B60}">
    <text xml:space="preserve">2026 Inventory = (3yr Average DIO / 365) × 2026 COGS
</text>
  </threadedComment>
  <threadedComment ref="H83" dT="2026-04-26T01:43:15.67" personId="{C44259D0-522D-4E8B-A167-570A2D87A088}" id="{73E334A0-593A-41CB-8659-C7F0D149AD28}">
    <text>=2025 Other Current Assets * (1 + Revenue Growth Rate)</text>
  </threadedComment>
  <threadedComment ref="H85" dT="2026-04-26T01:47:04.90" personId="{C44259D0-522D-4E8B-A167-570A2D87A088}" id="{2C5DD1BA-6455-422A-8A06-F13DA0A1A21E}">
    <text>Declining portfolio; Boeing exiting customer financing. Linear run-off assumed.</text>
  </threadedComment>
  <threadedComment ref="H86" dT="2026-04-27T07:12:33.63" personId="{C44259D0-522D-4E8B-A167-570A2D87A088}" id="{38546E84-2507-4C66-843D-B4E8B55CE5FC}">
    <text xml:space="preserve">Prior Year PP&amp;E + CapEx - D&amp;A </text>
  </threadedComment>
  <threadedComment ref="H87" dT="2026-04-26T01:36:10.97" personId="{C44259D0-522D-4E8B-A167-570A2D87A088}" id="{781018CE-9A74-4BD7-B24A-7BBD80AB89E7}">
    <text>Holding flat, no acquisitions acquired</text>
  </threadedComment>
  <threadedComment ref="H88" dT="2026-04-26T02:00:40.10" personId="{C44259D0-522D-4E8B-A167-570A2D87A088}" id="{E3887C0E-50E1-411C-B626-EBECC05579F8}">
    <text>Using a 5 Year Average (No amortization portion of D&amp;A)</text>
  </threadedComment>
  <threadedComment ref="H89" dT="2026-04-26T02:01:08.78" personId="{C44259D0-522D-4E8B-A167-570A2D87A088}" id="{42B21807-10EE-4681-9B99-E76C8B4F8F19}">
    <text>Holding Flat</text>
  </threadedComment>
  <threadedComment ref="H90" dT="2026-04-26T02:01:25.90" personId="{C44259D0-522D-4E8B-A167-570A2D87A088}" id="{7ECBA987-631A-452A-B005-8DEB05A0D266}">
    <text>Holding Flat</text>
  </threadedComment>
  <threadedComment ref="H91" dT="2026-04-26T02:02:56.55" personId="{C44259D0-522D-4E8B-A167-570A2D87A088}" id="{DBC35067-876F-4FAD-ADB1-8027CB5EB694}">
    <text xml:space="preserve">= 2025 Other Non Current Assets * (1 + Revenue Growth Rate)
Keeping consistent with Other Current Assets 
</text>
  </threadedComment>
  <threadedComment ref="H93" dT="2026-04-26T02:05:52.79" personId="{C44259D0-522D-4E8B-A167-570A2D87A088}" id="{814AF812-3628-4A3F-BBD1-C79B9FB72DB1}">
    <text xml:space="preserve">2026 AP = (5yr Average DPO / 365) × 2026 COGS
</text>
  </threadedComment>
  <threadedComment ref="H94" dT="2026-04-26T02:07:07.78" personId="{C44259D0-522D-4E8B-A167-570A2D87A088}" id="{68022D32-F1F3-4230-804F-E42ACC6E65BC}">
    <text xml:space="preserve">Using 5 Year Average
</text>
  </threadedComment>
  <threadedComment ref="H95" dT="2026-04-26T02:07:23.64" personId="{C44259D0-522D-4E8B-A167-570A2D87A088}" id="{0F4657DB-4F55-4126-9AA9-309AE70433C1}">
    <text xml:space="preserve">Using 5 Year Average
</text>
  </threadedComment>
  <threadedComment ref="H96" dT="2026-04-26T02:09:21.31" personId="{C44259D0-522D-4E8B-A167-570A2D87A088}" id="{6F50CB29-681B-4273-A7E2-EC93B37B267D}">
    <text>Holding flat, no debt schedule…debt is volatile hence not using averages</text>
  </threadedComment>
  <threadedComment ref="H98" dT="2026-04-26T02:31:30.41" personId="{C44259D0-522D-4E8B-A167-570A2D87A088}" id="{C8728A52-4B4C-4EE8-A0E5-D0AABDE46C6A}">
    <text>Using 5 Year Average</text>
  </threadedComment>
  <threadedComment ref="H99" dT="2026-04-26T02:18:59.65" personId="{C44259D0-522D-4E8B-A167-570A2D87A088}" id="{32311E65-3CCC-4F0B-8E2B-49A29C7C4C14}">
    <text>2026E Accrued Retiree Healthcare: Declining ~$190-200M/yr. Benefit obligation reducing through plan modifications and demographics. Trend: $3,528M (2021) → $2,091M (2025) → continuing decline.</text>
  </threadedComment>
  <threadedComment ref="H100" dT="2026-04-26T02:19:14.63" personId="{C44259D0-522D-4E8B-A167-570A2D87A088}" id="{2CC4C517-5135-4741-BDCB-AACD715CD406}">
    <text>2026E Pension Liabilities: Declining ~$300M/yr. Continued de-risking of pension portfolio; annual cash contributions ~$300-400M. Trend: $9,104M (2021) → $4,287M (2025).</text>
  </threadedComment>
  <threadedComment ref="H101" dT="2026-04-26T02:19:23.75" personId="{C44259D0-522D-4E8B-A167-570A2D87A088}" id="{ED508D21-4D41-4D7E-A2C6-47EBB330BC7F}">
    <text>Holding Flat</text>
  </threadedComment>
  <threadedComment ref="H102" dT="2026-04-26T02:19:28.70" personId="{C44259D0-522D-4E8B-A167-570A2D87A088}" id="{0EF33BA7-EA60-4068-A91B-07BCA37ADD16}">
    <text>2025 Long-term Debt + New Borrowings - Debt Repayments 
(Debt Repayments is negative hence the add)</text>
  </threadedComment>
  <threadedComment ref="H104" dT="2026-04-26T14:24:36.39" personId="{C44259D0-522D-4E8B-A167-570A2D87A088}" id="{BF4AE64D-C9B3-4377-AA66-B017FC2C584D}">
    <text>Holding Flat</text>
  </threadedComment>
  <threadedComment ref="H105" dT="2026-04-26T14:25:45.62" personId="{C44259D0-522D-4E8B-A167-570A2D87A088}" id="{411E2319-1AA4-4B9C-B4FE-BDB461FBF768}">
    <text>=2025 Additional Paid-in Capital + Shared-Based Plans Expense</text>
  </threadedComment>
  <threadedComment ref="H106" dT="2026-04-26T14:27:55.07" personId="{C44259D0-522D-4E8B-A167-570A2D87A088}" id="{83C8CD51-E80A-4656-9959-554450CFFE03}">
    <text>=Treasury Stock + Treasury Shares Issued for 401(K) Contribution</text>
  </threadedComment>
  <threadedComment ref="H107" dT="2026-04-26T14:25:12.24" personId="{C44259D0-522D-4E8B-A167-570A2D87A088}" id="{F5319C8C-F8F3-4693-ABB0-C77AE715A152}">
    <text>=Retained Earnings + Net Income</text>
  </threadedComment>
  <threadedComment ref="H108" dT="2026-04-26T14:24:40.41" personId="{C44259D0-522D-4E8B-A167-570A2D87A088}" id="{FCB91F4A-21DD-4545-A98C-5E64EEF23ECD}">
    <text xml:space="preserve">Holding Flat
</text>
  </threadedComment>
  <threadedComment ref="H110" dT="2026-04-26T14:29:54.44" personId="{C44259D0-522D-4E8B-A167-570A2D87A088}" id="{F849684E-55F3-45B7-A694-57CDAAB97F7C}">
    <text>2026E Mandatory Convertible Preferred: $6M. Converts to common equity in 2027</text>
  </threadedComment>
  <threadedComment ref="H118" dT="2026-04-26T14:23:45.01" personId="{C44259D0-522D-4E8B-A167-570A2D87A088}" id="{31BB17E1-73EB-438A-A0DB-D6025F734539}">
    <text xml:space="preserve">Using a 5 Year Average
</text>
  </threadedComment>
  <threadedComment ref="H119" dT="2026-04-26T14:26:50.58" personId="{C44259D0-522D-4E8B-A167-570A2D87A088}" id="{6B2DD525-3FDF-4831-9A1B-E82B4EACA719}">
    <text>Using 5 Year Average</text>
  </threadedComment>
  <threadedComment ref="H120" dT="2026-04-26T01:54:08.31" personId="{C44259D0-522D-4E8B-A167-570A2D87A088}" id="{949B10D3-3C46-4F0B-BC2A-F0EB9AC0FE1F}">
    <text>=D%A % of Revenue * Revenue</text>
  </threadedComment>
  <threadedComment ref="H121" dT="2026-04-26T23:18:35.47" personId="{C44259D0-522D-4E8B-A167-570A2D87A088}" id="{48544A9C-5A13-48D1-917C-3108BF63C7D6}">
    <text>Unpredictable</text>
  </threadedComment>
  <threadedComment ref="H122" dT="2026-04-26T23:23:24.32" personId="{C44259D0-522D-4E8B-A167-570A2D87A088}" id="{5A51DCBB-5374-41B9-A10B-D554B01E1BF6}">
    <text>Holding as 0</text>
  </threadedComment>
  <threadedComment ref="H123" dT="2026-04-26T23:20:20.93" personId="{C44259D0-522D-4E8B-A167-570A2D87A088}" id="{E50A0D2D-3BE6-4CD1-9F5F-29554D1EAC8F}">
    <text>One time item</text>
  </threadedComment>
  <threadedComment ref="B124" dT="2026-04-20T03:26:43.70" personId="{C44259D0-522D-4E8B-A167-570A2D87A088}" id="{DF0D4C79-7457-440F-B77D-C897944542A1}">
    <text>777X and 787 Reach Forward Losses in 2021</text>
  </threadedComment>
  <threadedComment ref="H124" dT="2026-04-26T23:23:05.37" personId="{C44259D0-522D-4E8B-A167-570A2D87A088}" id="{68DB4377-F52A-4AAF-83A8-BD591DFD5B88}">
    <text>0 as this is programme specific</text>
  </threadedComment>
  <threadedComment ref="H125" dT="2026-04-26T23:21:13.04" personId="{C44259D0-522D-4E8B-A167-570A2D87A088}" id="{BFF3F063-7346-4FA0-B987-FBA065DF5BF0}">
    <text>Using 3 Year Average</text>
  </threadedComment>
  <threadedComment ref="H127" dT="2026-04-26T23:39:24.96" personId="{C44259D0-522D-4E8B-A167-570A2D87A088}" id="{0006161D-3BC5-4E50-B74E-B622B762275E}">
    <text>Minus the change in AR
(If there is an increase in assets, results in negative cash flow)</text>
  </threadedComment>
  <threadedComment ref="H128" dT="2026-04-26T23:39:39.14" personId="{C44259D0-522D-4E8B-A167-570A2D87A088}" id="{F78C6349-BEDA-4712-A897-1FEB6ADCE4E6}">
    <text>Minus change in Unbilled Receivables
(If there is an increase in assets, results in negative cash flow)</text>
  </threadedComment>
  <threadedComment ref="H129" dT="2026-04-27T06:14:00.09" personId="{C44259D0-522D-4E8B-A167-570A2D87A088}" id="{BF5E9D82-25FE-470A-8E1E-5BE11EEA9DB7}">
    <text xml:space="preserve">=2026 Advances &amp; Progress Billings (BS) - 2025 Advances &amp; Progress Billings 
(If there is an increase in liabilities, results in positive cash flow)
</text>
  </threadedComment>
  <threadedComment ref="H130" dT="2026-04-27T06:20:25.69" personId="{C44259D0-522D-4E8B-A167-570A2D87A088}" id="{812CA68D-79BF-4E4F-81F9-2C4068742389}">
    <text>= 2025 Inventory - 2026 Inventory 
Inventory went up, negative in CFS</text>
  </threadedComment>
  <threadedComment ref="H131" dT="2026-04-27T06:31:41.17" personId="{C44259D0-522D-4E8B-A167-570A2D87A088}" id="{809AE375-C473-4387-B29D-B0C30E437B93}">
    <text xml:space="preserve">= 2025 Other CA (BS) − 2026 Other CA (BS)
(Increase in Assets result in negative cash flow) </text>
  </threadedComment>
  <threadedComment ref="H132" dT="2026-04-27T06:32:29.43" personId="{C44259D0-522D-4E8B-A167-570A2D87A088}" id="{9D7F316F-17BF-4FB3-B0FE-FC87EC6234D0}">
    <text>= 2026 AP (BS) − 2025 AP (BS) 
(Increase in liabilities means positive cash flow)</text>
  </threadedComment>
  <threadedComment ref="H133" dT="2026-04-27T06:33:59.63" personId="{C44259D0-522D-4E8B-A167-570A2D87A088}" id="{CEC400AD-C561-4A30-9BB2-CA4E9DB69447}">
    <text>= 2026 Liabilities - 2025 Liabilities
(Increase in liabilities means positive cash flow)</text>
  </threadedComment>
  <threadedComment ref="H134" dT="2026-04-27T06:36:11.27" personId="{C44259D0-522D-4E8B-A167-570A2D87A088}" id="{4A83F404-C9A2-46C7-9506-E1EF1742A4DE}">
    <text>0 as forecast is held flat</text>
  </threadedComment>
  <threadedComment ref="H135" dT="2026-04-27T06:36:15.42" personId="{C44259D0-522D-4E8B-A167-570A2D87A088}" id="{48A8B806-0B54-4F16-8A9B-5449EA0673F3}">
    <text>0 as forecast is held flat</text>
  </threadedComment>
  <threadedComment ref="H136" dT="2026-04-26T23:41:31.74" personId="{C44259D0-522D-4E8B-A167-570A2D87A088}" id="{7FFEBBFF-5D9C-4BFD-9657-AA07CCCF1643}">
    <text>Using 3 Year Average</text>
  </threadedComment>
  <threadedComment ref="H137" dT="2026-04-27T06:39:21.47" personId="{C44259D0-522D-4E8B-A167-570A2D87A088}" id="{BC23432E-35D7-4C91-BB36-3B8971C0F0EF}">
    <text>= (2026 BS balance - 2025 BS balance)
(A decrease in assets means positive cash flow)</text>
  </threadedComment>
  <threadedComment ref="H138" dT="2026-04-26T23:41:39.54" personId="{C44259D0-522D-4E8B-A167-570A2D87A088}" id="{C43B1633-B4E0-4CF6-9023-271AD363286E}">
    <text>Using 3 Year Average</text>
  </threadedComment>
  <threadedComment ref="B140" dT="2026-04-20T08:39:06.63" personId="{C44259D0-522D-4E8B-A167-570A2D87A088}" id="{3406BCD8-C23B-47A2-8911-97DD0FF0B2D2}">
    <text>Payments to Acquire Property, Plant and Equipment</text>
  </threadedComment>
  <threadedComment ref="H140" dT="2026-04-26T01:54:13.91" personId="{C44259D0-522D-4E8B-A167-570A2D87A088}" id="{6B97D321-1CD9-43E7-8CB5-8D4B80105B9D}">
    <text>Using a 5 Year Average</text>
  </threadedComment>
  <threadedComment ref="H141" dT="2026-04-27T06:42:51.15" personId="{C44259D0-522D-4E8B-A167-570A2D87A088}" id="{4D3C0DCE-13AE-4FE3-9352-785F2D5EEE07}">
    <text>Using 5 Year Average</text>
  </threadedComment>
  <threadedComment ref="H142" dT="2026-04-27T06:43:26.06" personId="{C44259D0-522D-4E8B-A167-570A2D87A088}" id="{6BCFBAF5-47C0-476F-8B84-2B2FCEB0D212}">
    <text>Holding Flat at Zero</text>
  </threadedComment>
  <threadedComment ref="H143" dT="2026-04-27T06:43:43.62" personId="{C44259D0-522D-4E8B-A167-570A2D87A088}" id="{C0D67968-DD41-4C7C-A6EC-F945E41037B8}">
    <text>Holding Flat at Zero</text>
  </threadedComment>
  <threadedComment ref="H144" dT="2026-04-27T06:44:09.03" personId="{C44259D0-522D-4E8B-A167-570A2D87A088}" id="{8E6376C5-2961-4711-B206-F04555A70644}">
    <text>Using 5 Year Average</text>
  </threadedComment>
  <threadedComment ref="H145" dT="2026-04-27T06:44:30.47" personId="{C44259D0-522D-4E8B-A167-570A2D87A088}" id="{D4DAA8F8-ADD5-4E4C-9817-F0478F5E63A3}">
    <text>Using 5 Year Average</text>
  </threadedComment>
  <threadedComment ref="H146" dT="2026-04-27T06:45:33.14" personId="{C44259D0-522D-4E8B-A167-570A2D87A088}" id="{4700DE3E-E3F0-42B6-B9F2-C0D6D39111C3}">
    <text>Using 3 Year Average</text>
  </threadedComment>
  <threadedComment ref="H147" dT="2026-04-27T06:43:43.62" personId="{C44259D0-522D-4E8B-A167-570A2D87A088}" id="{76663011-AFEF-4E06-A983-640D69F7354B}">
    <text>Holding Flat at Zero</text>
  </threadedComment>
  <threadedComment ref="H148" dT="2026-04-27T06:43:43.62" personId="{C44259D0-522D-4E8B-A167-570A2D87A088}" id="{E9384446-E2E6-4EAA-912C-AA254CC96811}">
    <text>Holding Flat at Zero</text>
  </threadedComment>
  <threadedComment ref="H149" dT="2026-04-27T06:46:21.52" personId="{C44259D0-522D-4E8B-A167-570A2D87A088}" id="{B61385CD-4D45-43DD-A9B8-1F9A74DDBE7A}">
    <text>Using 5 Year Average</text>
  </threadedComment>
  <threadedComment ref="H151" dT="2026-04-27T06:47:38.84" personId="{C44259D0-522D-4E8B-A167-570A2D87A088}" id="{2688BE2C-FA58-404B-A32E-6069952950F1}">
    <text>Holding flat due to volatile nature</text>
  </threadedComment>
  <threadedComment ref="H152" dT="2026-04-27T06:47:54.99" personId="{C44259D0-522D-4E8B-A167-570A2D87A088}" id="{7E2FEC11-F235-4343-9ED2-AC7B15839631}">
    <text xml:space="preserve">Holding flat due to volatile nature
</text>
  </threadedComment>
  <threadedComment ref="H153" dT="2026-04-27T06:43:43.62" personId="{C44259D0-522D-4E8B-A167-570A2D87A088}" id="{5C64ACA4-E29F-463F-B779-E9272719307F}">
    <text>Holding Flat at Zero, one off in 2024</text>
  </threadedComment>
  <threadedComment ref="H154" dT="2026-04-27T06:43:43.62" personId="{C44259D0-522D-4E8B-A167-570A2D87A088}" id="{9A9E8B3D-B775-48CF-9620-F2C10C0EC303}">
    <text>Holding Flat at Zero, one off in 2024</text>
  </threadedComment>
  <threadedComment ref="H155" dT="2026-04-27T06:48:52.00" personId="{C44259D0-522D-4E8B-A167-570A2D87A088}" id="{68D538B7-3B2D-4332-865D-5AD5BC490526}">
    <text>Holding Flat at Zero</text>
  </threadedComment>
  <threadedComment ref="H156" dT="2026-04-27T06:49:14.55" personId="{C44259D0-522D-4E8B-A167-570A2D87A088}" id="{84FA0DD2-4274-4155-A7D5-B607DD46069A}">
    <text>Using 5 Year Average</text>
  </threadedComment>
  <threadedComment ref="H158" dT="2026-04-27T06:47:38.84" personId="{C44259D0-522D-4E8B-A167-570A2D87A088}" id="{0CF63F11-B143-4E7B-A7B4-DCEEDCB5A0BF}">
    <text>Holding flat due to volatile nature</text>
  </threadedComment>
  <threadedComment ref="H160" dT="2026-04-27T06:53:05.01" personId="{C44259D0-522D-4E8B-A167-570A2D87A088}" id="{6D078522-323F-412D-9378-145142E98D7D}">
    <text>Using 5 Year Average</text>
  </threadedComment>
</ThreadedComments>
</file>

<file path=xl/threadedComments/threadedComment2.xml><?xml version="1.0" encoding="utf-8"?>
<ThreadedComments xmlns="http://schemas.microsoft.com/office/spreadsheetml/2018/threadedcomments" xmlns:x="http://schemas.openxmlformats.org/spreadsheetml/2006/main">
  <threadedComment ref="K6" dT="2026-05-03T04:48:26.55" personId="{C44259D0-522D-4E8B-A167-570A2D87A088}" id="{974D66F1-C248-4A11-8E2C-B68DD25D535C}">
    <text xml:space="preserve">9% Reflects Boeing's above-average risk profile, high leverage </text>
  </threadedComment>
  <threadedComment ref="K8" dT="2026-05-03T04:42:20.56" personId="{C44259D0-522D-4E8B-A167-570A2D87A088}" id="{100835BE-01EF-4223-AEB8-C62E1A015918}">
    <text xml:space="preserve">Boeing peer multiples (Airbus, Lockheed, Raytheon) trade at roughly 8–12x EBITDA </text>
  </threadedComment>
  <threadedComment ref="K9" dT="2026-05-03T04:44:32.25" personId="{C44259D0-522D-4E8B-A167-570A2D87A088}" id="{B57184F4-5308-4721-9E20-D1F352D7B39E}">
    <text xml:space="preserve">2.5% Aligned with long-run nominal GDP growth — the standard DCF anchor </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893F3-07B6-4D14-B60E-5605CD0CD4D1}">
  <dimension ref="B1:H11"/>
  <sheetViews>
    <sheetView showGridLines="0" workbookViewId="0">
      <selection activeCell="Q14" sqref="Q14"/>
    </sheetView>
  </sheetViews>
  <sheetFormatPr defaultRowHeight="15" x14ac:dyDescent="0.25"/>
  <cols>
    <col min="1" max="1" width="9.140625" customWidth="1"/>
    <col min="4" max="4" width="9.140625" customWidth="1"/>
  </cols>
  <sheetData>
    <row r="1" spans="2:8" s="55" customFormat="1" x14ac:dyDescent="0.25"/>
    <row r="2" spans="2:8" s="55" customFormat="1" x14ac:dyDescent="0.25"/>
    <row r="3" spans="2:8" s="53" customFormat="1" ht="15" customHeight="1" x14ac:dyDescent="0.25">
      <c r="B3" s="116" t="s">
        <v>126</v>
      </c>
      <c r="C3" s="116"/>
      <c r="D3" s="116"/>
      <c r="E3" s="116"/>
      <c r="F3" s="116"/>
      <c r="G3" s="116"/>
      <c r="H3" s="116"/>
    </row>
    <row r="4" spans="2:8" s="53" customFormat="1" ht="15" customHeight="1" x14ac:dyDescent="0.25">
      <c r="B4" s="116"/>
      <c r="C4" s="116"/>
      <c r="D4" s="116"/>
      <c r="E4" s="116"/>
      <c r="F4" s="116"/>
      <c r="G4" s="116"/>
      <c r="H4" s="116"/>
    </row>
    <row r="5" spans="2:8" s="53" customFormat="1" ht="15" customHeight="1" x14ac:dyDescent="0.25">
      <c r="B5" s="116"/>
      <c r="C5" s="116"/>
      <c r="D5" s="116"/>
      <c r="E5" s="116"/>
      <c r="F5" s="116"/>
      <c r="G5" s="116"/>
      <c r="H5" s="116"/>
    </row>
    <row r="6" spans="2:8" s="53" customFormat="1" ht="15" customHeight="1" x14ac:dyDescent="0.25">
      <c r="B6" s="116"/>
      <c r="C6" s="116"/>
      <c r="D6" s="116"/>
      <c r="E6" s="116"/>
      <c r="F6" s="116"/>
      <c r="G6" s="116"/>
      <c r="H6" s="116"/>
    </row>
    <row r="7" spans="2:8" s="53" customFormat="1" x14ac:dyDescent="0.25">
      <c r="B7" s="115" t="s">
        <v>127</v>
      </c>
      <c r="C7" s="115"/>
      <c r="D7" s="115"/>
      <c r="E7" s="115"/>
      <c r="F7" s="115"/>
      <c r="G7" s="115"/>
      <c r="H7" s="115"/>
    </row>
    <row r="8" spans="2:8" s="53" customFormat="1" x14ac:dyDescent="0.25">
      <c r="B8" s="54"/>
      <c r="C8" s="54"/>
      <c r="D8" s="54"/>
      <c r="E8" s="54"/>
      <c r="F8" s="54"/>
      <c r="G8" s="54"/>
      <c r="H8" s="54"/>
    </row>
    <row r="10" spans="2:8" x14ac:dyDescent="0.25">
      <c r="B10" s="112" t="s">
        <v>128</v>
      </c>
      <c r="C10" s="112"/>
      <c r="D10" s="112" t="s">
        <v>129</v>
      </c>
      <c r="E10" s="112"/>
    </row>
    <row r="11" spans="2:8" x14ac:dyDescent="0.25">
      <c r="B11" s="112" t="s">
        <v>130</v>
      </c>
      <c r="C11" s="112"/>
      <c r="D11" s="113">
        <f ca="1">TODAY()</f>
        <v>46145</v>
      </c>
      <c r="E11" s="114"/>
    </row>
  </sheetData>
  <mergeCells count="6">
    <mergeCell ref="B11:C11"/>
    <mergeCell ref="D11:E11"/>
    <mergeCell ref="B7:H7"/>
    <mergeCell ref="B3:H6"/>
    <mergeCell ref="B10:C10"/>
    <mergeCell ref="D10:E1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12991-E7C1-464F-8C4C-AEB74938335E}">
  <dimension ref="B4:L166"/>
  <sheetViews>
    <sheetView showGridLines="0" tabSelected="1" topLeftCell="A81" zoomScaleNormal="100" workbookViewId="0">
      <selection activeCell="L95" sqref="L95"/>
    </sheetView>
  </sheetViews>
  <sheetFormatPr defaultRowHeight="15" x14ac:dyDescent="0.25"/>
  <cols>
    <col min="2" max="2" width="55.85546875" bestFit="1" customWidth="1"/>
    <col min="3" max="3" width="20.28515625" customWidth="1"/>
    <col min="4" max="12" width="17.140625" customWidth="1"/>
    <col min="13" max="14" width="14.28515625" customWidth="1"/>
  </cols>
  <sheetData>
    <row r="4" spans="2:12" x14ac:dyDescent="0.25">
      <c r="B4" s="78" t="s">
        <v>144</v>
      </c>
      <c r="C4" s="117"/>
      <c r="D4" s="117"/>
      <c r="E4" s="117"/>
      <c r="F4" s="117"/>
      <c r="G4" s="117"/>
      <c r="H4" s="117"/>
      <c r="I4" s="117"/>
      <c r="J4" s="117"/>
      <c r="K4" s="117"/>
      <c r="L4" s="117"/>
    </row>
    <row r="5" spans="2:12" x14ac:dyDescent="0.25">
      <c r="B5" s="143"/>
      <c r="C5" s="144"/>
      <c r="D5" s="144"/>
      <c r="E5" s="144"/>
      <c r="F5" s="144"/>
      <c r="G5" s="144"/>
      <c r="H5" s="144"/>
      <c r="I5" s="144"/>
      <c r="J5" s="144"/>
      <c r="K5" s="144"/>
      <c r="L5" s="145"/>
    </row>
    <row r="6" spans="2:12" ht="15.75" x14ac:dyDescent="0.3">
      <c r="B6" s="146" t="s">
        <v>145</v>
      </c>
      <c r="C6" s="152">
        <v>46145</v>
      </c>
      <c r="D6" s="130"/>
      <c r="E6" s="119" t="s">
        <v>161</v>
      </c>
      <c r="F6" s="130"/>
      <c r="G6" s="130"/>
      <c r="H6" s="130"/>
      <c r="I6" s="130"/>
      <c r="J6" s="130"/>
      <c r="K6" s="130"/>
      <c r="L6" s="135"/>
    </row>
    <row r="7" spans="2:12" ht="15.75" x14ac:dyDescent="0.3">
      <c r="B7" s="146" t="s">
        <v>146</v>
      </c>
      <c r="C7" s="147" t="s">
        <v>126</v>
      </c>
      <c r="D7" s="130"/>
      <c r="E7" s="120" t="s">
        <v>160</v>
      </c>
      <c r="F7" s="130"/>
      <c r="G7" s="130"/>
      <c r="H7" s="130"/>
      <c r="I7" s="130"/>
      <c r="J7" s="130"/>
      <c r="K7" s="130"/>
      <c r="L7" s="135"/>
    </row>
    <row r="8" spans="2:12" ht="15.75" x14ac:dyDescent="0.3">
      <c r="B8" s="146" t="s">
        <v>155</v>
      </c>
      <c r="C8" s="147">
        <v>2021</v>
      </c>
      <c r="D8" s="130"/>
      <c r="E8" s="130"/>
      <c r="F8" s="130"/>
      <c r="G8" s="130"/>
      <c r="H8" s="130"/>
      <c r="I8" s="130"/>
      <c r="J8" s="130"/>
      <c r="K8" s="130"/>
      <c r="L8" s="135"/>
    </row>
    <row r="9" spans="2:12" ht="15.75" x14ac:dyDescent="0.3">
      <c r="B9" s="146" t="s">
        <v>156</v>
      </c>
      <c r="C9" s="71">
        <v>227.38</v>
      </c>
      <c r="D9" s="130"/>
      <c r="E9" s="119" t="s">
        <v>49</v>
      </c>
      <c r="F9" s="130"/>
      <c r="G9" s="130"/>
      <c r="H9" s="130"/>
      <c r="I9" s="130"/>
      <c r="J9" s="130"/>
      <c r="K9" s="130"/>
      <c r="L9" s="135"/>
    </row>
    <row r="10" spans="2:12" ht="15.75" x14ac:dyDescent="0.3">
      <c r="B10" s="146"/>
      <c r="C10" s="130"/>
      <c r="D10" s="130"/>
      <c r="E10" s="125">
        <f>H66</f>
        <v>-8482.3056687067165</v>
      </c>
      <c r="F10" s="130"/>
      <c r="G10" s="130"/>
      <c r="H10" s="130"/>
      <c r="I10" s="130"/>
      <c r="J10" s="130"/>
      <c r="K10" s="130"/>
      <c r="L10" s="135"/>
    </row>
    <row r="11" spans="2:12" ht="15.75" x14ac:dyDescent="0.3">
      <c r="B11" s="148" t="s">
        <v>158</v>
      </c>
      <c r="C11" s="127">
        <f>H71</f>
        <v>670.83333333333326</v>
      </c>
      <c r="D11" s="130"/>
      <c r="E11" s="130"/>
      <c r="F11" s="130"/>
      <c r="G11" s="130"/>
      <c r="H11" s="130"/>
      <c r="I11" s="130"/>
      <c r="J11" s="130"/>
      <c r="K11" s="130"/>
      <c r="L11" s="135"/>
    </row>
    <row r="12" spans="2:12" ht="15.75" x14ac:dyDescent="0.3">
      <c r="B12" s="148" t="s">
        <v>147</v>
      </c>
      <c r="C12" s="71">
        <f>C11*C9</f>
        <v>152534.08333333331</v>
      </c>
      <c r="D12" s="130"/>
      <c r="E12" s="119" t="s">
        <v>14</v>
      </c>
      <c r="F12" s="130"/>
      <c r="G12" s="130"/>
      <c r="H12" s="130"/>
      <c r="I12" s="130"/>
      <c r="J12" s="130"/>
      <c r="K12" s="130"/>
      <c r="L12" s="135"/>
    </row>
    <row r="13" spans="2:12" ht="15.75" x14ac:dyDescent="0.3">
      <c r="B13" s="148" t="s">
        <v>159</v>
      </c>
      <c r="C13" s="127">
        <f>H73</f>
        <v>671.66666666666663</v>
      </c>
      <c r="D13" s="130"/>
      <c r="E13" s="125">
        <f>H82</f>
        <v>58756.41220130906</v>
      </c>
      <c r="F13" s="130"/>
      <c r="G13" s="130"/>
      <c r="H13" s="130"/>
      <c r="I13" s="130"/>
      <c r="J13" s="130"/>
      <c r="K13" s="130"/>
      <c r="L13" s="135"/>
    </row>
    <row r="14" spans="2:12" ht="15.75" x14ac:dyDescent="0.3">
      <c r="B14" s="148" t="s">
        <v>148</v>
      </c>
      <c r="C14" s="71">
        <f>C13*C9</f>
        <v>152723.56666666665</v>
      </c>
      <c r="D14" s="130"/>
      <c r="E14" s="130"/>
      <c r="F14" s="130"/>
      <c r="G14" s="130"/>
      <c r="H14" s="130"/>
      <c r="I14" s="130"/>
      <c r="J14" s="130"/>
      <c r="K14" s="130"/>
      <c r="L14" s="135"/>
    </row>
    <row r="15" spans="2:12" ht="15.75" x14ac:dyDescent="0.3">
      <c r="B15" s="149" t="s">
        <v>149</v>
      </c>
      <c r="C15" s="71">
        <f>H77+H78+H90</f>
        <v>40513.669107758164</v>
      </c>
      <c r="D15" s="130"/>
      <c r="E15" s="130"/>
      <c r="F15" s="130"/>
      <c r="G15" s="130"/>
      <c r="H15" s="130"/>
      <c r="I15" s="130"/>
      <c r="J15" s="130"/>
      <c r="K15" s="130"/>
      <c r="L15" s="135"/>
    </row>
    <row r="16" spans="2:12" ht="15.75" x14ac:dyDescent="0.3">
      <c r="B16" s="149" t="s">
        <v>150</v>
      </c>
      <c r="C16" s="71">
        <f>H102</f>
        <v>42181</v>
      </c>
      <c r="D16" s="130"/>
      <c r="E16" s="130"/>
      <c r="F16" s="130"/>
      <c r="G16" s="130"/>
      <c r="H16" s="130"/>
      <c r="I16" s="130"/>
      <c r="J16" s="130"/>
      <c r="K16" s="130"/>
      <c r="L16" s="135"/>
    </row>
    <row r="17" spans="2:12" ht="15.75" x14ac:dyDescent="0.3">
      <c r="B17" s="149" t="s">
        <v>151</v>
      </c>
      <c r="C17" s="71">
        <v>0</v>
      </c>
      <c r="D17" s="130"/>
      <c r="E17" s="130"/>
      <c r="F17" s="130"/>
      <c r="G17" s="130"/>
      <c r="H17" s="130"/>
      <c r="I17" s="130"/>
      <c r="J17" s="130"/>
      <c r="K17" s="130"/>
      <c r="L17" s="135"/>
    </row>
    <row r="18" spans="2:12" ht="15.75" x14ac:dyDescent="0.3">
      <c r="B18" s="149" t="s">
        <v>152</v>
      </c>
      <c r="C18" s="71">
        <v>0</v>
      </c>
      <c r="D18" s="130"/>
      <c r="E18" s="130"/>
      <c r="F18" s="130"/>
      <c r="G18" s="130"/>
      <c r="H18" s="130"/>
      <c r="I18" s="130"/>
      <c r="J18" s="130"/>
      <c r="K18" s="130"/>
      <c r="L18" s="135"/>
    </row>
    <row r="19" spans="2:12" ht="15.75" x14ac:dyDescent="0.3">
      <c r="B19" s="149" t="s">
        <v>153</v>
      </c>
      <c r="C19" s="71">
        <v>0</v>
      </c>
      <c r="D19" s="130"/>
      <c r="E19" s="130"/>
      <c r="F19" s="130"/>
      <c r="G19" s="130"/>
      <c r="H19" s="130"/>
      <c r="I19" s="130"/>
      <c r="J19" s="130"/>
      <c r="K19" s="130"/>
      <c r="L19" s="135"/>
    </row>
    <row r="20" spans="2:12" ht="15.75" x14ac:dyDescent="0.3">
      <c r="B20" s="150" t="s">
        <v>157</v>
      </c>
      <c r="C20" s="151">
        <f>C14-C15+C16+C17+C18+C19</f>
        <v>154390.8975589085</v>
      </c>
      <c r="D20" s="118"/>
      <c r="E20" s="118"/>
      <c r="F20" s="118"/>
      <c r="G20" s="118"/>
      <c r="H20" s="118"/>
      <c r="I20" s="118"/>
      <c r="J20" s="118"/>
      <c r="K20" s="118"/>
      <c r="L20" s="140"/>
    </row>
    <row r="22" spans="2:12" ht="15.75" x14ac:dyDescent="0.3">
      <c r="B22" s="78" t="s">
        <v>90</v>
      </c>
      <c r="C22" s="79">
        <v>2021</v>
      </c>
      <c r="D22" s="79">
        <f>+C22+1</f>
        <v>2022</v>
      </c>
      <c r="E22" s="79">
        <f>+D22+1</f>
        <v>2023</v>
      </c>
      <c r="F22" s="79">
        <f>+E22+1</f>
        <v>2024</v>
      </c>
      <c r="G22" s="79">
        <f>+F22+1</f>
        <v>2025</v>
      </c>
      <c r="H22" s="123">
        <f t="shared" ref="H22:L22" si="0">+G22+1</f>
        <v>2026</v>
      </c>
      <c r="I22" s="123">
        <f t="shared" si="0"/>
        <v>2027</v>
      </c>
      <c r="J22" s="123">
        <f t="shared" si="0"/>
        <v>2028</v>
      </c>
      <c r="K22" s="123">
        <f t="shared" si="0"/>
        <v>2029</v>
      </c>
      <c r="L22" s="124">
        <f t="shared" si="0"/>
        <v>2030</v>
      </c>
    </row>
    <row r="23" spans="2:12" ht="15.75" x14ac:dyDescent="0.3">
      <c r="B23" s="80" t="s">
        <v>91</v>
      </c>
      <c r="C23" s="22"/>
      <c r="D23" s="22"/>
      <c r="E23" s="22"/>
      <c r="F23" s="22"/>
      <c r="G23" s="23"/>
      <c r="L23" s="81"/>
    </row>
    <row r="24" spans="2:12" ht="15.75" x14ac:dyDescent="0.3">
      <c r="B24" s="82" t="s">
        <v>92</v>
      </c>
      <c r="C24" s="42">
        <v>0</v>
      </c>
      <c r="D24" s="43">
        <f>D51/C51 - 1</f>
        <v>6.9389589956009301E-2</v>
      </c>
      <c r="E24" s="43">
        <f t="shared" ref="E24:G24" si="1">E51/D51 - 1</f>
        <v>0.16793778525102088</v>
      </c>
      <c r="F24" s="43">
        <f t="shared" si="1"/>
        <v>-0.14495976553461709</v>
      </c>
      <c r="G24" s="43">
        <f t="shared" si="1"/>
        <v>0.34496444517942781</v>
      </c>
      <c r="H24" s="58">
        <f>IF($E$7="Grey Sky",0.06,IF($E$7="Base Case",RATE(4,0,-C$51,G$51),IF($E$7="Blue Sky",0.14,)))</f>
        <v>9.4745715087468374E-2</v>
      </c>
      <c r="I24" s="57">
        <f>H24-0.01</f>
        <v>8.4745715087468379E-2</v>
      </c>
      <c r="J24" s="57">
        <f t="shared" ref="J24:L24" si="2">I24-0.01</f>
        <v>7.4745715087468384E-2</v>
      </c>
      <c r="K24" s="57">
        <f t="shared" si="2"/>
        <v>6.4745715087468389E-2</v>
      </c>
      <c r="L24" s="126">
        <f t="shared" si="2"/>
        <v>5.4745715087468387E-2</v>
      </c>
    </row>
    <row r="25" spans="2:12" ht="15.75" x14ac:dyDescent="0.3">
      <c r="B25" s="80" t="s">
        <v>93</v>
      </c>
      <c r="C25" s="17"/>
      <c r="D25" s="17"/>
      <c r="E25" s="17"/>
      <c r="F25" s="17"/>
      <c r="G25" s="17"/>
      <c r="H25" s="56"/>
      <c r="I25" s="43"/>
      <c r="J25" s="43"/>
      <c r="K25" s="43"/>
      <c r="L25" s="84"/>
    </row>
    <row r="26" spans="2:12" ht="15.75" x14ac:dyDescent="0.3">
      <c r="B26" s="85" t="s">
        <v>94</v>
      </c>
      <c r="C26" s="43">
        <f>C53/C51</f>
        <v>4.8951610313714158E-2</v>
      </c>
      <c r="D26" s="43">
        <f t="shared" ref="D26:F26" si="3">D53/D51</f>
        <v>5.2996637040595727E-2</v>
      </c>
      <c r="E26" s="43">
        <f t="shared" si="3"/>
        <v>9.9287862817183839E-2</v>
      </c>
      <c r="F26" s="43">
        <f t="shared" si="3"/>
        <v>-2.9932197784025137E-2</v>
      </c>
      <c r="G26" s="43">
        <f>G53/G51</f>
        <v>4.7941607144853182E-2</v>
      </c>
      <c r="H26" s="58">
        <f>H53/H51</f>
        <v>4.7941607144853196E-2</v>
      </c>
      <c r="I26" s="57">
        <f t="shared" ref="I26:L26" si="4">I53/I51</f>
        <v>4.7941607144853189E-2</v>
      </c>
      <c r="J26" s="57">
        <f t="shared" si="4"/>
        <v>4.794160714485312E-2</v>
      </c>
      <c r="K26" s="57">
        <f t="shared" si="4"/>
        <v>4.7941607144853113E-2</v>
      </c>
      <c r="L26" s="83">
        <f t="shared" si="4"/>
        <v>4.7941607144853099E-2</v>
      </c>
    </row>
    <row r="27" spans="2:12" ht="15.75" x14ac:dyDescent="0.3">
      <c r="B27" s="85" t="s">
        <v>95</v>
      </c>
      <c r="C27" s="43">
        <f>C52/C51</f>
        <v>0.9510483896862858</v>
      </c>
      <c r="D27" s="43">
        <f t="shared" ref="D27:L27" si="5">D52/D51</f>
        <v>0.94700336295940424</v>
      </c>
      <c r="E27" s="43">
        <f t="shared" si="5"/>
        <v>0.90071213718281617</v>
      </c>
      <c r="F27" s="43">
        <f t="shared" si="5"/>
        <v>1.0299321977840252</v>
      </c>
      <c r="G27" s="43">
        <f t="shared" si="5"/>
        <v>0.95205839285514682</v>
      </c>
      <c r="H27" s="56">
        <f>H52/H51</f>
        <v>0.95205839285514682</v>
      </c>
      <c r="I27" s="43">
        <f t="shared" si="5"/>
        <v>0.95205839285514682</v>
      </c>
      <c r="J27" s="43">
        <f t="shared" si="5"/>
        <v>0.95205839285514693</v>
      </c>
      <c r="K27" s="43">
        <f t="shared" si="5"/>
        <v>0.95205839285514693</v>
      </c>
      <c r="L27" s="84">
        <f t="shared" si="5"/>
        <v>0.95205839285514693</v>
      </c>
    </row>
    <row r="28" spans="2:12" ht="15.75" x14ac:dyDescent="0.3">
      <c r="B28" s="85" t="s">
        <v>97</v>
      </c>
      <c r="C28" s="43">
        <f>C55/C51</f>
        <v>6.67405195389012E-2</v>
      </c>
      <c r="D28" s="43">
        <f t="shared" ref="D28:L28" si="6">D55/D51</f>
        <v>6.2860317079029546E-2</v>
      </c>
      <c r="E28" s="43">
        <f t="shared" si="6"/>
        <v>6.6431858498084681E-2</v>
      </c>
      <c r="F28" s="43">
        <f t="shared" si="6"/>
        <v>7.5484462618578704E-2</v>
      </c>
      <c r="G28" s="43">
        <f t="shared" si="6"/>
        <v>6.8072834579658625E-2</v>
      </c>
      <c r="H28" s="56">
        <f t="shared" si="6"/>
        <v>6.8072834579658625E-2</v>
      </c>
      <c r="I28" s="43">
        <f t="shared" si="6"/>
        <v>6.8072834579658625E-2</v>
      </c>
      <c r="J28" s="43">
        <f t="shared" si="6"/>
        <v>6.8072834579658625E-2</v>
      </c>
      <c r="K28" s="43">
        <f t="shared" si="6"/>
        <v>6.8072834579658625E-2</v>
      </c>
      <c r="L28" s="84">
        <f t="shared" si="6"/>
        <v>6.8072834579658625E-2</v>
      </c>
    </row>
    <row r="29" spans="2:12" ht="15.75" x14ac:dyDescent="0.3">
      <c r="B29" s="85" t="s">
        <v>96</v>
      </c>
      <c r="C29" s="43">
        <f>C56/C51</f>
        <v>3.6107632533795717E-2</v>
      </c>
      <c r="D29" s="43">
        <f t="shared" ref="D29:L29" si="7">D56/D51</f>
        <v>4.2817679558011051E-2</v>
      </c>
      <c r="E29" s="43">
        <f t="shared" si="7"/>
        <v>4.3409517443504637E-2</v>
      </c>
      <c r="F29" s="43">
        <f t="shared" si="7"/>
        <v>5.730865793706872E-2</v>
      </c>
      <c r="G29" s="43">
        <f t="shared" si="7"/>
        <v>4.0407766339156971E-2</v>
      </c>
      <c r="H29" s="56">
        <f t="shared" si="7"/>
        <v>4.0407766339156971E-2</v>
      </c>
      <c r="I29" s="43">
        <f t="shared" si="7"/>
        <v>4.0407766339156964E-2</v>
      </c>
      <c r="J29" s="43">
        <f t="shared" si="7"/>
        <v>4.0407766339156964E-2</v>
      </c>
      <c r="K29" s="43">
        <f t="shared" si="7"/>
        <v>4.0407766339156971E-2</v>
      </c>
      <c r="L29" s="84">
        <f t="shared" si="7"/>
        <v>4.0407766339156971E-2</v>
      </c>
    </row>
    <row r="30" spans="2:12" ht="15.75" x14ac:dyDescent="0.3">
      <c r="B30" s="85" t="s">
        <v>98</v>
      </c>
      <c r="C30" s="43">
        <f>C58/C51</f>
        <v>-5.3896541758982758E-2</v>
      </c>
      <c r="D30" s="43">
        <f t="shared" ref="D30:L30" si="8">D58/D51</f>
        <v>-5.268135959644487E-2</v>
      </c>
      <c r="E30" s="43">
        <f t="shared" si="8"/>
        <v>-1.0553513124405481E-2</v>
      </c>
      <c r="F30" s="43">
        <f t="shared" si="8"/>
        <v>-0.16272531833967258</v>
      </c>
      <c r="G30" s="43">
        <f t="shared" si="8"/>
        <v>-6.0538993773962421E-2</v>
      </c>
      <c r="H30" s="56">
        <f t="shared" si="8"/>
        <v>-6.0538993773962407E-2</v>
      </c>
      <c r="I30" s="43">
        <f t="shared" si="8"/>
        <v>-6.0538993773962407E-2</v>
      </c>
      <c r="J30" s="43">
        <f t="shared" si="8"/>
        <v>-6.053899377396247E-2</v>
      </c>
      <c r="K30" s="43">
        <f t="shared" si="8"/>
        <v>-6.053899377396247E-2</v>
      </c>
      <c r="L30" s="84">
        <f t="shared" si="8"/>
        <v>-6.0538993773962498E-2</v>
      </c>
    </row>
    <row r="31" spans="2:12" ht="15.75" x14ac:dyDescent="0.3">
      <c r="B31" s="85" t="s">
        <v>99</v>
      </c>
      <c r="C31" s="43">
        <f t="shared" ref="C31:H31" si="9">C66/C51</f>
        <v>-8.8350512153613975E-2</v>
      </c>
      <c r="D31" s="43">
        <f t="shared" si="9"/>
        <v>-9.8831972135479215E-2</v>
      </c>
      <c r="E31" s="43">
        <f t="shared" si="9"/>
        <v>-1.5451063063989511E-2</v>
      </c>
      <c r="F31" s="43">
        <f t="shared" si="9"/>
        <v>-0.31295758978907645</v>
      </c>
      <c r="G31" s="43">
        <f t="shared" si="9"/>
        <v>-1.3692811553379609E-2</v>
      </c>
      <c r="H31" s="56">
        <f t="shared" si="9"/>
        <v>-8.6607839952920124E-2</v>
      </c>
      <c r="I31" s="43">
        <f t="shared" ref="I31:L31" si="10">I66/I51</f>
        <v>-8.4779840538383722E-2</v>
      </c>
      <c r="J31" s="43">
        <f t="shared" si="10"/>
        <v>-8.3898994781013397E-2</v>
      </c>
      <c r="K31" s="43">
        <f t="shared" si="10"/>
        <v>-8.1681415511727473E-2</v>
      </c>
      <c r="L31" s="84">
        <f t="shared" si="10"/>
        <v>-8.0473752278283461E-2</v>
      </c>
    </row>
    <row r="32" spans="2:12" ht="15.75" x14ac:dyDescent="0.3">
      <c r="B32" s="80" t="s">
        <v>100</v>
      </c>
      <c r="C32" s="44"/>
      <c r="D32" s="44"/>
      <c r="E32" s="44"/>
      <c r="F32" s="44"/>
      <c r="G32" s="44"/>
      <c r="H32" s="56"/>
      <c r="I32" s="43"/>
      <c r="J32" s="43"/>
      <c r="K32" s="43"/>
      <c r="L32" s="84"/>
    </row>
    <row r="33" spans="2:12" ht="15.75" x14ac:dyDescent="0.3">
      <c r="B33" s="85" t="s">
        <v>101</v>
      </c>
      <c r="C33" s="42">
        <v>0</v>
      </c>
      <c r="D33" s="42">
        <v>0</v>
      </c>
      <c r="E33" s="42">
        <v>0</v>
      </c>
      <c r="F33" s="42">
        <v>0</v>
      </c>
      <c r="G33" s="57">
        <f>G65/G64</f>
        <v>-0.47946859903381644</v>
      </c>
      <c r="H33" s="77">
        <v>0.21</v>
      </c>
      <c r="I33" s="76">
        <v>0.21</v>
      </c>
      <c r="J33" s="76">
        <v>0.21</v>
      </c>
      <c r="K33" s="76">
        <v>0.21</v>
      </c>
      <c r="L33" s="86">
        <v>0.21</v>
      </c>
    </row>
    <row r="34" spans="2:12" ht="15.75" x14ac:dyDescent="0.3">
      <c r="B34" s="80" t="s">
        <v>56</v>
      </c>
      <c r="C34" s="44"/>
      <c r="D34" s="44"/>
      <c r="E34" s="44"/>
      <c r="F34" s="44"/>
      <c r="G34" s="44"/>
      <c r="H34" s="56"/>
      <c r="I34" s="43"/>
      <c r="J34" s="43"/>
      <c r="K34" s="43"/>
      <c r="L34" s="84"/>
    </row>
    <row r="35" spans="2:12" ht="15.75" x14ac:dyDescent="0.3">
      <c r="B35" s="85" t="s">
        <v>102</v>
      </c>
      <c r="C35" s="43">
        <f>C140/C51</f>
        <v>-1.5733872780400091E-2</v>
      </c>
      <c r="D35" s="43">
        <f t="shared" ref="D35:G35" si="11">D140/D51</f>
        <v>-1.8346144607254384E-2</v>
      </c>
      <c r="E35" s="43">
        <f t="shared" si="11"/>
        <v>-1.9628763143687174E-2</v>
      </c>
      <c r="F35" s="43">
        <f t="shared" si="11"/>
        <v>-3.3525264218169794E-2</v>
      </c>
      <c r="G35" s="43">
        <f t="shared" si="11"/>
        <v>-3.2885103338810458E-2</v>
      </c>
      <c r="H35" s="58">
        <f>H140/H51</f>
        <v>-1.8176576358594709E-2</v>
      </c>
      <c r="I35" s="57">
        <f t="shared" ref="I35:L35" si="12">I140/I51</f>
        <v>-1.8262944487264645E-2</v>
      </c>
      <c r="J35" s="57">
        <f t="shared" si="12"/>
        <v>-1.8250887864662231E-2</v>
      </c>
      <c r="K35" s="57">
        <f t="shared" si="12"/>
        <v>-1.8057216036932822E-2</v>
      </c>
      <c r="L35" s="83">
        <f t="shared" si="12"/>
        <v>-1.7065795131283243E-2</v>
      </c>
    </row>
    <row r="36" spans="2:12" ht="15.75" x14ac:dyDescent="0.3">
      <c r="B36" s="85" t="s">
        <v>103</v>
      </c>
      <c r="C36" s="43">
        <f>C140/C86</f>
        <v>-8.9760029309397332E-2</v>
      </c>
      <c r="D36" s="43">
        <f t="shared" ref="D36:G36" si="13">D140/D86</f>
        <v>-0.11582938388625592</v>
      </c>
      <c r="E36" s="43">
        <f t="shared" si="13"/>
        <v>-0.14323234218178407</v>
      </c>
      <c r="F36" s="43">
        <f t="shared" si="13"/>
        <v>-0.19540834209603924</v>
      </c>
      <c r="G36" s="43">
        <f t="shared" si="13"/>
        <v>-0.19152398932361175</v>
      </c>
      <c r="H36" s="56">
        <f>H140/H86</f>
        <v>-0.12072063834486223</v>
      </c>
      <c r="I36" s="43">
        <f t="shared" ref="I36:L36" si="14">I140/I86</f>
        <v>-0.13789676204952606</v>
      </c>
      <c r="J36" s="43">
        <f t="shared" si="14"/>
        <v>-0.15487485374655832</v>
      </c>
      <c r="K36" s="43">
        <f t="shared" si="14"/>
        <v>-0.17280370320809055</v>
      </c>
      <c r="L36" s="84">
        <f t="shared" si="14"/>
        <v>-0.18555849762191379</v>
      </c>
    </row>
    <row r="37" spans="2:12" ht="15.75" x14ac:dyDescent="0.3">
      <c r="B37" s="85" t="s">
        <v>104</v>
      </c>
      <c r="C37" s="43">
        <f>C120/C51</f>
        <v>3.4421860450181418E-2</v>
      </c>
      <c r="D37" s="43">
        <f t="shared" ref="D37:G37" si="15">D120/D51</f>
        <v>2.9711145808311315E-2</v>
      </c>
      <c r="E37" s="43">
        <f t="shared" si="15"/>
        <v>2.3922153379438003E-2</v>
      </c>
      <c r="F37" s="43">
        <f t="shared" si="15"/>
        <v>2.7601966414600779E-2</v>
      </c>
      <c r="G37" s="43">
        <f t="shared" si="15"/>
        <v>2.1830253847959492E-2</v>
      </c>
      <c r="H37" s="56">
        <f>AVERAGE(E37:G37)</f>
        <v>2.4451457880666091E-2</v>
      </c>
      <c r="I37" s="43">
        <f t="shared" ref="I37:L37" si="16">AVERAGE(F37:H37)</f>
        <v>2.4627892714408784E-2</v>
      </c>
      <c r="J37" s="43">
        <f t="shared" si="16"/>
        <v>2.3636534814344787E-2</v>
      </c>
      <c r="K37" s="43">
        <f t="shared" si="16"/>
        <v>2.4238628469806553E-2</v>
      </c>
      <c r="L37" s="84">
        <f t="shared" si="16"/>
        <v>2.4167685332853375E-2</v>
      </c>
    </row>
    <row r="38" spans="2:12" ht="17.25" x14ac:dyDescent="0.4">
      <c r="B38" s="80" t="s">
        <v>105</v>
      </c>
      <c r="C38" s="45"/>
      <c r="D38" s="45"/>
      <c r="E38" s="45"/>
      <c r="F38" s="45"/>
      <c r="G38" s="45"/>
      <c r="H38" s="56"/>
      <c r="I38" s="43"/>
      <c r="J38" s="43"/>
      <c r="K38" s="43"/>
      <c r="L38" s="84"/>
    </row>
    <row r="39" spans="2:12" ht="15.75" x14ac:dyDescent="0.3">
      <c r="B39" s="87" t="s">
        <v>132</v>
      </c>
      <c r="C39" s="59">
        <f>C79/C51 * 365</f>
        <v>15.476431300773848</v>
      </c>
      <c r="D39" s="59">
        <f t="shared" ref="D39:G39" si="17">D79/D51 * 365</f>
        <v>13.792712587076627</v>
      </c>
      <c r="E39" s="59">
        <f t="shared" si="17"/>
        <v>12.428786281718386</v>
      </c>
      <c r="F39" s="59">
        <f t="shared" si="17"/>
        <v>14.437136371153239</v>
      </c>
      <c r="G39" s="59">
        <f t="shared" si="17"/>
        <v>11.917384840660384</v>
      </c>
      <c r="H39" s="62">
        <f>AVERAGE(C39:G39)</f>
        <v>13.610490276276497</v>
      </c>
      <c r="I39" s="60">
        <f t="shared" ref="I39:L39" si="18">AVERAGE(D39:H39)</f>
        <v>13.237302071377027</v>
      </c>
      <c r="J39" s="60">
        <f t="shared" si="18"/>
        <v>13.126219968237105</v>
      </c>
      <c r="K39" s="60">
        <f t="shared" si="18"/>
        <v>13.26570670554085</v>
      </c>
      <c r="L39" s="88">
        <f t="shared" si="18"/>
        <v>13.031420772418375</v>
      </c>
    </row>
    <row r="40" spans="2:12" ht="15.75" x14ac:dyDescent="0.3">
      <c r="B40" s="87" t="s">
        <v>133</v>
      </c>
      <c r="C40" s="59">
        <f>C82/C52 *365</f>
        <v>485.68285024562351</v>
      </c>
      <c r="D40" s="59">
        <f t="shared" ref="D40:F40" si="19">D82/D52 *365</f>
        <v>452.21971210247631</v>
      </c>
      <c r="E40" s="59">
        <f t="shared" si="19"/>
        <v>415.37698016269445</v>
      </c>
      <c r="F40" s="59">
        <f t="shared" si="19"/>
        <v>466.45282302796755</v>
      </c>
      <c r="G40" s="59">
        <f>G82/G52 *365</f>
        <v>362.87875407988355</v>
      </c>
      <c r="H40" s="122">
        <f>IF($E$7="Grey Sky",AVERAGE(E40:G40), IF($E$7="Base Case",230, IF($E$7="Blue Sky", 130,)))</f>
        <v>230</v>
      </c>
      <c r="I40" s="59">
        <f>IF($E$7="Grey Sky",AVERAGE(F40:H40), IF($E$7="Base Case",230, IF($E$7="Blue Sky", 130,)))</f>
        <v>230</v>
      </c>
      <c r="J40" s="59">
        <f>IF($E$7="Grey Sky",AVERAGE(G40:I40), IF($E$7="Base Case",230, IF($E$7="Blue Sky", 130,)))</f>
        <v>230</v>
      </c>
      <c r="K40" s="59">
        <f>IF($E$7="Grey Sky",AVERAGE(H40:J40), IF($E$7="Base Case",230, IF($E$7="Blue Sky", 130,)))</f>
        <v>230</v>
      </c>
      <c r="L40" s="121">
        <f>IF($E$7="Grey Sky",AVERAGE(I40:K40), IF($E$7="Base Case",230, IF($E$7="Blue Sky", 130,)))</f>
        <v>230</v>
      </c>
    </row>
    <row r="41" spans="2:12" ht="15.75" x14ac:dyDescent="0.3">
      <c r="B41" s="87" t="s">
        <v>134</v>
      </c>
      <c r="C41" s="59">
        <f>C93/C52 *365</f>
        <v>57.063406316997828</v>
      </c>
      <c r="D41" s="59">
        <f t="shared" ref="D41:G41" si="20">D93/D52 *365</f>
        <v>59.022163036240848</v>
      </c>
      <c r="E41" s="59">
        <f t="shared" si="20"/>
        <v>62.321392892821464</v>
      </c>
      <c r="F41" s="59">
        <f t="shared" si="20"/>
        <v>60.545629707479421</v>
      </c>
      <c r="G41" s="59">
        <f t="shared" si="20"/>
        <v>56.176591448094491</v>
      </c>
      <c r="H41" s="61">
        <f t="shared" ref="H41:L41" si="21">AVERAGE(C41:G41)</f>
        <v>59.025836680326805</v>
      </c>
      <c r="I41" s="59">
        <f t="shared" si="21"/>
        <v>59.418322752992609</v>
      </c>
      <c r="J41" s="59">
        <f t="shared" si="21"/>
        <v>59.497554696342959</v>
      </c>
      <c r="K41" s="59">
        <f t="shared" si="21"/>
        <v>58.932787057047257</v>
      </c>
      <c r="L41" s="89">
        <f t="shared" si="21"/>
        <v>58.610218526960828</v>
      </c>
    </row>
    <row r="42" spans="2:12" ht="15.75" x14ac:dyDescent="0.3">
      <c r="B42" s="87" t="s">
        <v>122</v>
      </c>
      <c r="C42" s="43">
        <f>C95/C51</f>
        <v>0.85059242847509875</v>
      </c>
      <c r="D42" s="43">
        <f t="shared" ref="D42:G42" si="22">D95/D51</f>
        <v>0.79691628633197209</v>
      </c>
      <c r="E42" s="43">
        <f t="shared" si="22"/>
        <v>0.72406612335141529</v>
      </c>
      <c r="F42" s="43">
        <f t="shared" si="22"/>
        <v>0.90703128523535337</v>
      </c>
      <c r="G42" s="43">
        <f t="shared" si="22"/>
        <v>0.66400634899343858</v>
      </c>
      <c r="H42" s="56">
        <f>H129/H51</f>
        <v>-3.0414776798664181E-2</v>
      </c>
      <c r="I42" s="43">
        <f t="shared" ref="I42:L42" si="23">I129/I51</f>
        <v>6.4857436551689377E-3</v>
      </c>
      <c r="J42" s="43">
        <f t="shared" si="23"/>
        <v>7.0646993476875652E-3</v>
      </c>
      <c r="K42" s="43">
        <f t="shared" si="23"/>
        <v>2.6204685882781167E-3</v>
      </c>
      <c r="L42" s="84">
        <f t="shared" si="23"/>
        <v>-3.2653222626266988E-3</v>
      </c>
    </row>
    <row r="43" spans="2:12" ht="15.75" x14ac:dyDescent="0.3">
      <c r="B43" s="80" t="s">
        <v>106</v>
      </c>
      <c r="C43" s="43"/>
      <c r="D43" s="43"/>
      <c r="E43" s="43"/>
      <c r="F43" s="43"/>
      <c r="G43" s="43"/>
      <c r="H43" s="56"/>
      <c r="I43" s="43"/>
      <c r="J43" s="43"/>
      <c r="K43" s="43"/>
      <c r="L43" s="84"/>
    </row>
    <row r="44" spans="2:12" ht="15.75" x14ac:dyDescent="0.3">
      <c r="B44" s="87" t="s">
        <v>107</v>
      </c>
      <c r="C44" s="46">
        <f>C102+C96-C77-C78</f>
        <v>41858</v>
      </c>
      <c r="D44" s="46">
        <f t="shared" ref="D44:G44" si="24">D102+D96-D77-D78</f>
        <v>39781</v>
      </c>
      <c r="E44" s="46">
        <f t="shared" si="24"/>
        <v>36342</v>
      </c>
      <c r="F44" s="46">
        <f t="shared" si="24"/>
        <v>27582</v>
      </c>
      <c r="G44" s="46">
        <f t="shared" si="24"/>
        <v>24698</v>
      </c>
      <c r="H44" s="65">
        <f>AVERAGE(E44:G44)</f>
        <v>29540.666666666668</v>
      </c>
      <c r="I44" s="46">
        <f t="shared" ref="I44:L44" si="25">AVERAGE(F44:H44)</f>
        <v>27273.555555555558</v>
      </c>
      <c r="J44" s="46">
        <f t="shared" si="25"/>
        <v>27170.740740740745</v>
      </c>
      <c r="K44" s="46">
        <f t="shared" si="25"/>
        <v>27994.987654320994</v>
      </c>
      <c r="L44" s="90">
        <f t="shared" si="25"/>
        <v>27479.761316872435</v>
      </c>
    </row>
    <row r="45" spans="2:12" ht="15.75" x14ac:dyDescent="0.3">
      <c r="B45" s="87" t="s">
        <v>108</v>
      </c>
      <c r="C45" s="47" t="str">
        <f t="shared" ref="C45:D45" si="26">IF(C44/(C58+C120)&lt;0,"nm",C44/(C58+C120))</f>
        <v>nm</v>
      </c>
      <c r="D45" s="47" t="str">
        <f t="shared" si="26"/>
        <v>nm</v>
      </c>
      <c r="E45" s="47">
        <f>IF(E44/(E58+E120)&lt;0,"nm",E44/(E58+E120))</f>
        <v>34.944230769230771</v>
      </c>
      <c r="F45" s="47" t="str">
        <f t="shared" ref="F45" si="27">IF(F44/(F58+F120)&lt;0,"nm",F44/(F58+F120))</f>
        <v>nm</v>
      </c>
      <c r="G45" s="91" t="str">
        <f t="shared" ref="G45:L45" si="28">IF(G44/(G58+G120)&lt;0,"nm",G44/(G58+G120))</f>
        <v>nm</v>
      </c>
      <c r="H45" s="47" t="str">
        <f t="shared" si="28"/>
        <v>nm</v>
      </c>
      <c r="I45" s="47" t="str">
        <f t="shared" si="28"/>
        <v>nm</v>
      </c>
      <c r="J45" s="47" t="str">
        <f t="shared" si="28"/>
        <v>nm</v>
      </c>
      <c r="K45" s="47" t="str">
        <f t="shared" si="28"/>
        <v>nm</v>
      </c>
      <c r="L45" s="91" t="str">
        <f t="shared" si="28"/>
        <v>nm</v>
      </c>
    </row>
    <row r="46" spans="2:12" ht="15.75" x14ac:dyDescent="0.3">
      <c r="B46" s="87" t="s">
        <v>109</v>
      </c>
      <c r="C46" s="47" t="str">
        <f>IF(C63/(C102+C96)&lt;0,"nm",C63/(C102+C96))</f>
        <v>nm</v>
      </c>
      <c r="D46" s="47" t="str">
        <f t="shared" ref="D46:L46" si="29">IF(D63/(D102+D96)&lt;0,"nm",D63/(D102+D96))</f>
        <v>nm</v>
      </c>
      <c r="E46" s="47" t="str">
        <f t="shared" si="29"/>
        <v>nm</v>
      </c>
      <c r="F46" s="47" t="str">
        <f t="shared" si="29"/>
        <v>nm</v>
      </c>
      <c r="G46" s="91" t="str">
        <f t="shared" si="29"/>
        <v>nm</v>
      </c>
      <c r="H46" s="47" t="str">
        <f t="shared" si="29"/>
        <v>nm</v>
      </c>
      <c r="I46" s="47" t="str">
        <f t="shared" si="29"/>
        <v>nm</v>
      </c>
      <c r="J46" s="47" t="str">
        <f t="shared" si="29"/>
        <v>nm</v>
      </c>
      <c r="K46" s="47" t="str">
        <f t="shared" si="29"/>
        <v>nm</v>
      </c>
      <c r="L46" s="91" t="str">
        <f t="shared" si="29"/>
        <v>nm</v>
      </c>
    </row>
    <row r="47" spans="2:12" ht="15.75" x14ac:dyDescent="0.3">
      <c r="B47" s="92" t="s">
        <v>110</v>
      </c>
      <c r="C47" s="52">
        <f>C63/(C96+C102)</f>
        <v>-4.6710956593576811E-2</v>
      </c>
      <c r="D47" s="52">
        <f t="shared" ref="D47:G47" si="30">D63/(D96+D102)</f>
        <v>-4.4929036332695918E-2</v>
      </c>
      <c r="E47" s="52">
        <f t="shared" si="30"/>
        <v>-4.7010916320951307E-2</v>
      </c>
      <c r="F47" s="52">
        <f t="shared" si="30"/>
        <v>-5.0590375761176296E-2</v>
      </c>
      <c r="G47" s="52">
        <f t="shared" si="30"/>
        <v>-5.1221856630559358E-2</v>
      </c>
      <c r="H47" s="63">
        <f>AVERAGE(E47:G47)</f>
        <v>-4.960771623756232E-2</v>
      </c>
      <c r="I47" s="52">
        <f t="shared" ref="I47:L47" si="31">AVERAGE(F47:H47)</f>
        <v>-5.0473316209765993E-2</v>
      </c>
      <c r="J47" s="52">
        <f t="shared" si="31"/>
        <v>-5.0434296359295888E-2</v>
      </c>
      <c r="K47" s="52">
        <f t="shared" si="31"/>
        <v>-5.0171776268874736E-2</v>
      </c>
      <c r="L47" s="93">
        <f t="shared" si="31"/>
        <v>-5.0359796279312204E-2</v>
      </c>
    </row>
    <row r="48" spans="2:12" x14ac:dyDescent="0.25">
      <c r="H48" s="19"/>
    </row>
    <row r="49" spans="2:12" x14ac:dyDescent="0.25">
      <c r="H49" s="19"/>
    </row>
    <row r="50" spans="2:12" ht="15.75" x14ac:dyDescent="0.3">
      <c r="B50" s="1" t="s">
        <v>0</v>
      </c>
      <c r="C50" s="2">
        <v>2021</v>
      </c>
      <c r="D50" s="2">
        <f>+C50+1</f>
        <v>2022</v>
      </c>
      <c r="E50" s="2">
        <f>+D50+1</f>
        <v>2023</v>
      </c>
      <c r="F50" s="2">
        <f>+E50+1</f>
        <v>2024</v>
      </c>
      <c r="G50" s="2">
        <f>+F50+1</f>
        <v>2025</v>
      </c>
      <c r="H50" s="2">
        <f t="shared" ref="H50" si="32">+G50+1</f>
        <v>2026</v>
      </c>
      <c r="I50" s="2">
        <f t="shared" ref="I50" si="33">+H50+1</f>
        <v>2027</v>
      </c>
      <c r="J50" s="2">
        <f t="shared" ref="J50" si="34">+I50+1</f>
        <v>2028</v>
      </c>
      <c r="K50" s="2">
        <f t="shared" ref="K50" si="35">+J50+1</f>
        <v>2029</v>
      </c>
      <c r="L50" s="2">
        <f t="shared" ref="L50" si="36">+K50+1</f>
        <v>2030</v>
      </c>
    </row>
    <row r="51" spans="2:12" ht="15.75" x14ac:dyDescent="0.3">
      <c r="B51" s="3" t="s">
        <v>1</v>
      </c>
      <c r="C51" s="5">
        <v>62286</v>
      </c>
      <c r="D51" s="5">
        <v>66608</v>
      </c>
      <c r="E51" s="5">
        <v>77794</v>
      </c>
      <c r="F51" s="5">
        <v>66517</v>
      </c>
      <c r="G51" s="49">
        <v>89463</v>
      </c>
      <c r="H51" s="42">
        <f>G51*(1+H24)</f>
        <v>97939.235908870192</v>
      </c>
      <c r="I51" s="42">
        <f t="shared" ref="I51:L51" si="37">H51*(1+I24)</f>
        <v>106239.16649108766</v>
      </c>
      <c r="J51" s="42">
        <f t="shared" si="37"/>
        <v>114180.08896076062</v>
      </c>
      <c r="K51" s="42">
        <f t="shared" si="37"/>
        <v>121572.76046927583</v>
      </c>
      <c r="L51" s="42">
        <f t="shared" si="37"/>
        <v>128228.34817632385</v>
      </c>
    </row>
    <row r="52" spans="2:12" ht="15.75" x14ac:dyDescent="0.3">
      <c r="B52" s="14" t="s">
        <v>2</v>
      </c>
      <c r="C52" s="5">
        <v>59237</v>
      </c>
      <c r="D52" s="5">
        <v>63078</v>
      </c>
      <c r="E52" s="5">
        <v>70070</v>
      </c>
      <c r="F52" s="5">
        <v>68508</v>
      </c>
      <c r="G52" s="94">
        <v>85174</v>
      </c>
      <c r="H52" s="66">
        <f>H51*G27</f>
        <v>93243.871536860039</v>
      </c>
      <c r="I52" s="96">
        <f t="shared" ref="I52:L52" si="38">I51*H27</f>
        <v>101145.89010777528</v>
      </c>
      <c r="J52" s="96">
        <f t="shared" si="38"/>
        <v>108706.11199203946</v>
      </c>
      <c r="K52" s="96">
        <f t="shared" si="38"/>
        <v>115744.36694734248</v>
      </c>
      <c r="L52" s="96">
        <f t="shared" si="38"/>
        <v>122080.87508322109</v>
      </c>
    </row>
    <row r="53" spans="2:12" ht="15.75" x14ac:dyDescent="0.3">
      <c r="B53" s="6" t="s">
        <v>3</v>
      </c>
      <c r="C53" s="7">
        <f>SUM(C51-C52)</f>
        <v>3049</v>
      </c>
      <c r="D53" s="7">
        <f>SUM(D51-D52)</f>
        <v>3530</v>
      </c>
      <c r="E53" s="7">
        <f>SUM(E51-E52)</f>
        <v>7724</v>
      </c>
      <c r="F53" s="7">
        <f>SUM(F51-F52)</f>
        <v>-1991</v>
      </c>
      <c r="G53" s="7">
        <f>SUM(G51-G52)</f>
        <v>4289</v>
      </c>
      <c r="H53" s="95">
        <f t="shared" ref="H53:L53" si="39">SUM(H51-H52)</f>
        <v>4695.3643720101536</v>
      </c>
      <c r="I53" s="71">
        <f t="shared" si="39"/>
        <v>5093.2763833123754</v>
      </c>
      <c r="J53" s="71">
        <f t="shared" si="39"/>
        <v>5473.9769687211665</v>
      </c>
      <c r="K53" s="71">
        <f t="shared" si="39"/>
        <v>5828.3935219333507</v>
      </c>
      <c r="L53" s="71">
        <f t="shared" si="39"/>
        <v>6147.4730931027589</v>
      </c>
    </row>
    <row r="54" spans="2:12" ht="15.75" x14ac:dyDescent="0.3">
      <c r="B54" s="8" t="s">
        <v>4</v>
      </c>
      <c r="C54" s="9"/>
      <c r="D54" s="9"/>
      <c r="E54" s="9"/>
      <c r="F54" s="9"/>
      <c r="G54" s="9"/>
      <c r="H54" s="19"/>
    </row>
    <row r="55" spans="2:12" ht="15.75" x14ac:dyDescent="0.3">
      <c r="B55" s="10" t="s">
        <v>6</v>
      </c>
      <c r="C55" s="11">
        <v>4157</v>
      </c>
      <c r="D55" s="11">
        <v>4187</v>
      </c>
      <c r="E55" s="11">
        <v>5168</v>
      </c>
      <c r="F55" s="11">
        <v>5021</v>
      </c>
      <c r="G55" s="11">
        <v>6090</v>
      </c>
      <c r="H55" s="64">
        <f>H51*G28</f>
        <v>6667.0014048826824</v>
      </c>
      <c r="I55" s="42">
        <f>I51*H28</f>
        <v>7232.001206428622</v>
      </c>
      <c r="J55" s="42">
        <f t="shared" ref="J55:L55" si="40">J51*I28</f>
        <v>7772.5623081165641</v>
      </c>
      <c r="K55" s="42">
        <f t="shared" si="40"/>
        <v>8275.8024128174748</v>
      </c>
      <c r="L55" s="42">
        <f t="shared" si="40"/>
        <v>8728.8671338297645</v>
      </c>
    </row>
    <row r="56" spans="2:12" ht="15.75" x14ac:dyDescent="0.3">
      <c r="B56" s="10" t="s">
        <v>131</v>
      </c>
      <c r="C56" s="11">
        <v>2249</v>
      </c>
      <c r="D56" s="11">
        <v>2852</v>
      </c>
      <c r="E56" s="11">
        <v>3377</v>
      </c>
      <c r="F56" s="11">
        <v>3812</v>
      </c>
      <c r="G56" s="11">
        <v>3615</v>
      </c>
      <c r="H56" s="66">
        <f>H51*G29</f>
        <v>3957.5057600411988</v>
      </c>
      <c r="I56" s="96">
        <f t="shared" ref="I56:L56" si="41">I51*H29</f>
        <v>4292.8874156386646</v>
      </c>
      <c r="J56" s="96">
        <f t="shared" si="41"/>
        <v>4613.7623553105705</v>
      </c>
      <c r="K56" s="96">
        <f t="shared" si="41"/>
        <v>4912.4836982487968</v>
      </c>
      <c r="L56" s="96">
        <f t="shared" si="41"/>
        <v>5181.4211311649588</v>
      </c>
    </row>
    <row r="57" spans="2:12" ht="15.75" x14ac:dyDescent="0.3">
      <c r="B57" s="6" t="s">
        <v>7</v>
      </c>
      <c r="C57" s="7">
        <f>SUM(C55:C56)</f>
        <v>6406</v>
      </c>
      <c r="D57" s="7">
        <f t="shared" ref="D57:L57" si="42">SUM(D55:D56)</f>
        <v>7039</v>
      </c>
      <c r="E57" s="7">
        <f t="shared" si="42"/>
        <v>8545</v>
      </c>
      <c r="F57" s="7">
        <f t="shared" si="42"/>
        <v>8833</v>
      </c>
      <c r="G57" s="7">
        <f t="shared" si="42"/>
        <v>9705</v>
      </c>
      <c r="H57" s="95">
        <f t="shared" si="42"/>
        <v>10624.507164923882</v>
      </c>
      <c r="I57" s="71">
        <f t="shared" si="42"/>
        <v>11524.888622067287</v>
      </c>
      <c r="J57" s="71">
        <f t="shared" si="42"/>
        <v>12386.324663427135</v>
      </c>
      <c r="K57" s="71">
        <f t="shared" si="42"/>
        <v>13188.286111066271</v>
      </c>
      <c r="L57" s="71">
        <f t="shared" si="42"/>
        <v>13910.288264994724</v>
      </c>
    </row>
    <row r="58" spans="2:12" ht="15.75" x14ac:dyDescent="0.3">
      <c r="B58" s="6" t="s">
        <v>8</v>
      </c>
      <c r="C58" s="7">
        <f t="shared" ref="C58:H58" si="43">SUM(C53-C57)</f>
        <v>-3357</v>
      </c>
      <c r="D58" s="7">
        <f t="shared" si="43"/>
        <v>-3509</v>
      </c>
      <c r="E58" s="7">
        <f t="shared" si="43"/>
        <v>-821</v>
      </c>
      <c r="F58" s="7">
        <f t="shared" si="43"/>
        <v>-10824</v>
      </c>
      <c r="G58" s="29">
        <f t="shared" si="43"/>
        <v>-5416</v>
      </c>
      <c r="H58" s="7">
        <f t="shared" si="43"/>
        <v>-5929.142792913728</v>
      </c>
      <c r="I58" s="7">
        <f t="shared" ref="I58:L58" si="44">SUM(I53-I57)</f>
        <v>-6431.6122387549112</v>
      </c>
      <c r="J58" s="7">
        <f t="shared" si="44"/>
        <v>-6912.347694705968</v>
      </c>
      <c r="K58" s="7">
        <f t="shared" si="44"/>
        <v>-7359.89258913292</v>
      </c>
      <c r="L58" s="7">
        <f t="shared" si="44"/>
        <v>-7762.8151718919653</v>
      </c>
    </row>
    <row r="59" spans="2:12" ht="15.75" x14ac:dyDescent="0.3">
      <c r="B59" s="8" t="s">
        <v>137</v>
      </c>
      <c r="C59" s="71">
        <f>C58+C120</f>
        <v>-1213</v>
      </c>
      <c r="D59" s="71">
        <f t="shared" ref="D59:G59" si="45">D58+D120</f>
        <v>-1530</v>
      </c>
      <c r="E59" s="71">
        <f t="shared" si="45"/>
        <v>1040</v>
      </c>
      <c r="F59" s="71">
        <f t="shared" si="45"/>
        <v>-8988</v>
      </c>
      <c r="G59" s="71">
        <f t="shared" si="45"/>
        <v>-3463</v>
      </c>
      <c r="H59" s="95">
        <f t="shared" ref="H59" si="46">H58+H120</f>
        <v>-3534.3856912233687</v>
      </c>
      <c r="I59" s="71">
        <f t="shared" ref="I59" si="47">I58+I120</f>
        <v>-3815.1654443441917</v>
      </c>
      <c r="J59" s="71">
        <f t="shared" ref="J59" si="48">J58+J120</f>
        <v>-4213.5260468799643</v>
      </c>
      <c r="K59" s="71">
        <f t="shared" ref="K59" si="49">K58+K120</f>
        <v>-4413.1356160693576</v>
      </c>
      <c r="L59" s="71">
        <f t="shared" ref="L59" si="50">L58+L120</f>
        <v>-4663.8328024150069</v>
      </c>
    </row>
    <row r="60" spans="2:12" ht="15.75" x14ac:dyDescent="0.3">
      <c r="B60" s="4" t="s">
        <v>47</v>
      </c>
      <c r="C60" s="5">
        <v>210</v>
      </c>
      <c r="D60" s="5">
        <v>-16</v>
      </c>
      <c r="E60" s="5">
        <v>46</v>
      </c>
      <c r="F60" s="5">
        <v>71</v>
      </c>
      <c r="G60" s="5">
        <v>25</v>
      </c>
      <c r="H60" s="67">
        <f>AVERAGE(E60:G60)</f>
        <v>47.333333333333336</v>
      </c>
      <c r="I60" s="68">
        <f t="shared" ref="I60:L60" si="51">AVERAGE(F60:H60)</f>
        <v>47.777777777777779</v>
      </c>
      <c r="J60" s="68">
        <f t="shared" si="51"/>
        <v>40.037037037037038</v>
      </c>
      <c r="K60" s="68">
        <f t="shared" si="51"/>
        <v>45.049382716049386</v>
      </c>
      <c r="L60" s="68">
        <f t="shared" si="51"/>
        <v>44.288065843621403</v>
      </c>
    </row>
    <row r="61" spans="2:12" ht="15.75" x14ac:dyDescent="0.3">
      <c r="B61" s="10" t="s">
        <v>46</v>
      </c>
      <c r="C61" s="11">
        <v>277</v>
      </c>
      <c r="D61" s="11">
        <v>6</v>
      </c>
      <c r="E61" s="11">
        <v>2</v>
      </c>
      <c r="F61" s="11">
        <v>46</v>
      </c>
      <c r="G61" s="11">
        <v>9672</v>
      </c>
      <c r="H61" s="67">
        <v>0</v>
      </c>
      <c r="I61" s="68">
        <v>0</v>
      </c>
      <c r="J61" s="68">
        <v>0</v>
      </c>
      <c r="K61" s="68">
        <v>0</v>
      </c>
      <c r="L61" s="68">
        <v>0</v>
      </c>
    </row>
    <row r="62" spans="2:12" ht="15.75" x14ac:dyDescent="0.3">
      <c r="B62" s="4" t="s">
        <v>11</v>
      </c>
      <c r="C62" s="5">
        <v>551</v>
      </c>
      <c r="D62" s="5">
        <v>1058</v>
      </c>
      <c r="E62" s="5">
        <v>1227</v>
      </c>
      <c r="F62" s="5">
        <v>1222</v>
      </c>
      <c r="G62" s="5">
        <v>1125</v>
      </c>
      <c r="H62" s="67">
        <f>AVERAGE(E62:G62)</f>
        <v>1191.3333333333333</v>
      </c>
      <c r="I62" s="68">
        <f t="shared" ref="I62:L62" si="52">AVERAGE(F62:H62)</f>
        <v>1179.4444444444443</v>
      </c>
      <c r="J62" s="68">
        <f t="shared" si="52"/>
        <v>1165.2592592592591</v>
      </c>
      <c r="K62" s="68">
        <f t="shared" si="52"/>
        <v>1178.6790123456788</v>
      </c>
      <c r="L62" s="68">
        <f t="shared" si="52"/>
        <v>1174.4609053497941</v>
      </c>
    </row>
    <row r="63" spans="2:12" ht="15.75" x14ac:dyDescent="0.3">
      <c r="B63" s="4" t="s">
        <v>9</v>
      </c>
      <c r="C63" s="5">
        <f>-2714</f>
        <v>-2714</v>
      </c>
      <c r="D63" s="5">
        <v>-2561</v>
      </c>
      <c r="E63" s="5">
        <v>-2459</v>
      </c>
      <c r="F63" s="5">
        <v>-2725</v>
      </c>
      <c r="G63" s="5">
        <v>-2771</v>
      </c>
      <c r="H63" s="66">
        <f>H47*(H96+H102)</f>
        <v>-2512.2339657026309</v>
      </c>
      <c r="I63" s="96">
        <f t="shared" ref="I63:L63" si="53">I47*(I96+I102)</f>
        <v>-2381.6338986740184</v>
      </c>
      <c r="J63" s="96">
        <f t="shared" si="53"/>
        <v>-2205.4917797920093</v>
      </c>
      <c r="K63" s="96">
        <f t="shared" si="53"/>
        <v>-2020.6181174526612</v>
      </c>
      <c r="L63" s="96">
        <f t="shared" si="53"/>
        <v>-1854.1469794117168</v>
      </c>
    </row>
    <row r="64" spans="2:12" ht="15.75" x14ac:dyDescent="0.3">
      <c r="B64" s="6" t="s">
        <v>10</v>
      </c>
      <c r="C64" s="7">
        <f>SUM(C58:C63)</f>
        <v>-6246</v>
      </c>
      <c r="D64" s="7">
        <f t="shared" ref="D64:F64" si="54">SUM(D58:D63)</f>
        <v>-6552</v>
      </c>
      <c r="E64" s="7">
        <f t="shared" si="54"/>
        <v>-965</v>
      </c>
      <c r="F64" s="7">
        <f t="shared" si="54"/>
        <v>-21198</v>
      </c>
      <c r="G64" s="7">
        <f>SUM(G58:G63)</f>
        <v>-828</v>
      </c>
      <c r="H64" s="104">
        <f>SUM(H58:H63)</f>
        <v>-10737.095783173059</v>
      </c>
      <c r="I64" s="105">
        <f t="shared" ref="I64:L64" si="55">SUM(I58:I63)</f>
        <v>-11401.189359550899</v>
      </c>
      <c r="J64" s="105">
        <f t="shared" si="55"/>
        <v>-12126.069225081646</v>
      </c>
      <c r="K64" s="105">
        <f t="shared" si="55"/>
        <v>-12569.917927593209</v>
      </c>
      <c r="L64" s="105">
        <f t="shared" si="55"/>
        <v>-13062.045982525275</v>
      </c>
    </row>
    <row r="65" spans="2:12" ht="15.75" x14ac:dyDescent="0.3">
      <c r="B65" s="4" t="s">
        <v>5</v>
      </c>
      <c r="C65" s="11">
        <v>-743</v>
      </c>
      <c r="D65" s="11">
        <v>31</v>
      </c>
      <c r="E65" s="11">
        <v>237</v>
      </c>
      <c r="F65" s="11">
        <v>-381</v>
      </c>
      <c r="G65" s="11">
        <v>397</v>
      </c>
      <c r="H65" s="67">
        <f>H64*H33</f>
        <v>-2254.7901144663424</v>
      </c>
      <c r="I65" s="68">
        <f t="shared" ref="I65:L65" si="56">I64*I33</f>
        <v>-2394.2497655056886</v>
      </c>
      <c r="J65" s="68">
        <f t="shared" si="56"/>
        <v>-2546.4745372671455</v>
      </c>
      <c r="K65" s="68">
        <f t="shared" si="56"/>
        <v>-2639.6827647945738</v>
      </c>
      <c r="L65" s="68">
        <f t="shared" si="56"/>
        <v>-2743.0296563303077</v>
      </c>
    </row>
    <row r="66" spans="2:12" ht="16.5" thickBot="1" x14ac:dyDescent="0.35">
      <c r="B66" s="12" t="s">
        <v>50</v>
      </c>
      <c r="C66" s="13">
        <f t="shared" ref="C66:L66" si="57">SUM(C64-C65)</f>
        <v>-5503</v>
      </c>
      <c r="D66" s="13">
        <f t="shared" si="57"/>
        <v>-6583</v>
      </c>
      <c r="E66" s="13">
        <f t="shared" si="57"/>
        <v>-1202</v>
      </c>
      <c r="F66" s="13">
        <f t="shared" si="57"/>
        <v>-20817</v>
      </c>
      <c r="G66" s="13">
        <f t="shared" si="57"/>
        <v>-1225</v>
      </c>
      <c r="H66" s="75">
        <f t="shared" si="57"/>
        <v>-8482.3056687067165</v>
      </c>
      <c r="I66" s="13">
        <f t="shared" si="57"/>
        <v>-9006.9395940452105</v>
      </c>
      <c r="J66" s="13">
        <f t="shared" si="57"/>
        <v>-9579.5946878145005</v>
      </c>
      <c r="K66" s="13">
        <f t="shared" si="57"/>
        <v>-9930.2351627986354</v>
      </c>
      <c r="L66" s="13">
        <f t="shared" si="57"/>
        <v>-10319.016326194967</v>
      </c>
    </row>
    <row r="67" spans="2:12" ht="16.5" thickTop="1" x14ac:dyDescent="0.3">
      <c r="B67" s="4" t="s">
        <v>117</v>
      </c>
      <c r="C67" s="11">
        <v>-88</v>
      </c>
      <c r="D67" s="11">
        <v>-118</v>
      </c>
      <c r="E67" s="11">
        <v>-20</v>
      </c>
      <c r="F67" s="11">
        <v>-12</v>
      </c>
      <c r="G67" s="49">
        <v>3</v>
      </c>
      <c r="H67" s="67">
        <f>AVERAGE(E67:G67)</f>
        <v>-9.6666666666666661</v>
      </c>
      <c r="I67" s="68">
        <f t="shared" ref="I67:L67" si="58">AVERAGE(F67:H67)</f>
        <v>-6.2222222222222214</v>
      </c>
      <c r="J67" s="68">
        <f t="shared" si="58"/>
        <v>-4.2962962962962958</v>
      </c>
      <c r="K67" s="68">
        <f t="shared" si="58"/>
        <v>-6.7283950617283947</v>
      </c>
      <c r="L67" s="68">
        <f t="shared" si="58"/>
        <v>-5.7489711934156373</v>
      </c>
    </row>
    <row r="68" spans="2:12" ht="15.75" x14ac:dyDescent="0.3">
      <c r="B68" s="15" t="s">
        <v>118</v>
      </c>
      <c r="C68" s="17">
        <f t="shared" ref="C68:F68" si="59">SUM(C66-C67)</f>
        <v>-5415</v>
      </c>
      <c r="D68" s="17">
        <f t="shared" si="59"/>
        <v>-6465</v>
      </c>
      <c r="E68" s="17">
        <f t="shared" si="59"/>
        <v>-1182</v>
      </c>
      <c r="F68" s="17">
        <f t="shared" si="59"/>
        <v>-20805</v>
      </c>
      <c r="G68" s="17">
        <f>SUM(G66-G67)</f>
        <v>-1228</v>
      </c>
      <c r="H68" s="72">
        <f t="shared" ref="H68:L68" si="60">SUM(H66-H67)</f>
        <v>-8472.6390020400504</v>
      </c>
      <c r="I68" s="17">
        <f>SUM(I66-I67)</f>
        <v>-9000.7173718229878</v>
      </c>
      <c r="J68" s="17">
        <f t="shared" si="60"/>
        <v>-9575.2983915182049</v>
      </c>
      <c r="K68" s="17">
        <f t="shared" si="60"/>
        <v>-9923.5067677369079</v>
      </c>
      <c r="L68" s="17">
        <f t="shared" si="60"/>
        <v>-10313.267355001552</v>
      </c>
    </row>
    <row r="69" spans="2:12" ht="15.75" x14ac:dyDescent="0.3">
      <c r="B69" s="4" t="s">
        <v>119</v>
      </c>
      <c r="C69" s="11">
        <v>0</v>
      </c>
      <c r="D69" s="11">
        <v>0</v>
      </c>
      <c r="E69" s="11">
        <v>0</v>
      </c>
      <c r="F69" s="11">
        <v>58</v>
      </c>
      <c r="G69" s="49">
        <v>-345</v>
      </c>
      <c r="H69" s="18">
        <v>-345</v>
      </c>
      <c r="I69" s="18">
        <v>-173</v>
      </c>
      <c r="J69" s="18">
        <v>0</v>
      </c>
      <c r="K69" s="18">
        <v>0</v>
      </c>
      <c r="L69" s="18">
        <v>0</v>
      </c>
    </row>
    <row r="70" spans="2:12" ht="15.75" x14ac:dyDescent="0.3">
      <c r="B70" s="15" t="s">
        <v>120</v>
      </c>
      <c r="C70" s="17">
        <f t="shared" ref="C70:E70" si="61">SUM(C68-C69)</f>
        <v>-5415</v>
      </c>
      <c r="D70" s="17">
        <f t="shared" si="61"/>
        <v>-6465</v>
      </c>
      <c r="E70" s="17">
        <f t="shared" si="61"/>
        <v>-1182</v>
      </c>
      <c r="F70" s="17">
        <f>SUM(F68-F69)</f>
        <v>-20863</v>
      </c>
      <c r="G70" s="41">
        <f>SUM(G68:G69)</f>
        <v>-1573</v>
      </c>
      <c r="H70" s="71">
        <f t="shared" ref="H70:L70" si="62">SUM(H68:H69)</f>
        <v>-8817.6390020400504</v>
      </c>
      <c r="I70" s="71">
        <f t="shared" si="62"/>
        <v>-9173.7173718229878</v>
      </c>
      <c r="J70" s="71">
        <f t="shared" si="62"/>
        <v>-9575.2983915182049</v>
      </c>
      <c r="K70" s="71">
        <f t="shared" si="62"/>
        <v>-9923.5067677369079</v>
      </c>
      <c r="L70" s="71">
        <f t="shared" si="62"/>
        <v>-10313.267355001552</v>
      </c>
    </row>
    <row r="71" spans="2:12" ht="15.75" x14ac:dyDescent="0.3">
      <c r="B71" s="40" t="s">
        <v>115</v>
      </c>
      <c r="C71" s="48">
        <v>587.6</v>
      </c>
      <c r="D71" s="48">
        <v>594.9</v>
      </c>
      <c r="E71" s="48">
        <v>605.79999999999995</v>
      </c>
      <c r="F71" s="48">
        <v>646.9</v>
      </c>
      <c r="G71" s="48">
        <v>759.8</v>
      </c>
      <c r="H71" s="69">
        <f>AVERAGE(E71:G71)</f>
        <v>670.83333333333326</v>
      </c>
      <c r="I71" s="70">
        <f t="shared" ref="I71:L71" si="63">AVERAGE(F71:H71)</f>
        <v>692.51111111111095</v>
      </c>
      <c r="J71" s="70">
        <f t="shared" si="63"/>
        <v>707.71481481481476</v>
      </c>
      <c r="K71" s="70">
        <f t="shared" si="63"/>
        <v>690.35308641975291</v>
      </c>
      <c r="L71" s="70">
        <f t="shared" si="63"/>
        <v>696.85967078189287</v>
      </c>
    </row>
    <row r="72" spans="2:12" ht="15.75" x14ac:dyDescent="0.3">
      <c r="B72" s="6" t="s">
        <v>111</v>
      </c>
      <c r="C72" s="50">
        <f>C70/C71</f>
        <v>-9.2154526889040156</v>
      </c>
      <c r="D72" s="50">
        <f t="shared" ref="D72:L72" si="64">D70/D71</f>
        <v>-10.867372667675239</v>
      </c>
      <c r="E72" s="50">
        <f t="shared" si="64"/>
        <v>-1.9511389897655993</v>
      </c>
      <c r="F72" s="50">
        <f t="shared" si="64"/>
        <v>-32.250734271139279</v>
      </c>
      <c r="G72" s="50">
        <f>G70/G71</f>
        <v>-2.0702816530665964</v>
      </c>
      <c r="H72" s="73">
        <f>H70/H71</f>
        <v>-13.144306586892002</v>
      </c>
      <c r="I72" s="50">
        <f t="shared" si="64"/>
        <v>-13.247032754613951</v>
      </c>
      <c r="J72" s="50">
        <f t="shared" si="64"/>
        <v>-13.529882646336491</v>
      </c>
      <c r="K72" s="50">
        <f t="shared" si="64"/>
        <v>-14.374538135552209</v>
      </c>
      <c r="L72" s="50">
        <f t="shared" si="64"/>
        <v>-14.799632964022475</v>
      </c>
    </row>
    <row r="73" spans="2:12" ht="15.75" x14ac:dyDescent="0.3">
      <c r="B73" s="4" t="s">
        <v>116</v>
      </c>
      <c r="C73" s="48">
        <v>587.6</v>
      </c>
      <c r="D73" s="48">
        <v>594.9</v>
      </c>
      <c r="E73" s="48">
        <v>605.79999999999995</v>
      </c>
      <c r="F73" s="48">
        <v>646.9</v>
      </c>
      <c r="G73" s="48">
        <v>762.3</v>
      </c>
      <c r="H73" s="67">
        <f>AVERAGE(E73:G73)</f>
        <v>671.66666666666663</v>
      </c>
      <c r="I73" s="68">
        <f t="shared" ref="I73:L73" si="65">AVERAGE(F73:H73)</f>
        <v>693.62222222222215</v>
      </c>
      <c r="J73" s="68">
        <f t="shared" si="65"/>
        <v>709.19629629629628</v>
      </c>
      <c r="K73" s="68">
        <f t="shared" si="65"/>
        <v>691.49506172839494</v>
      </c>
      <c r="L73" s="68">
        <f t="shared" si="65"/>
        <v>698.10452674897113</v>
      </c>
    </row>
    <row r="74" spans="2:12" ht="15.75" x14ac:dyDescent="0.3">
      <c r="B74" s="24" t="s">
        <v>121</v>
      </c>
      <c r="C74" s="51">
        <f>C70/C73</f>
        <v>-9.2154526889040156</v>
      </c>
      <c r="D74" s="51">
        <f t="shared" ref="D74:L74" si="66">D70/D73</f>
        <v>-10.867372667675239</v>
      </c>
      <c r="E74" s="51">
        <f t="shared" si="66"/>
        <v>-1.9511389897655993</v>
      </c>
      <c r="F74" s="51">
        <f t="shared" si="66"/>
        <v>-32.250734271139279</v>
      </c>
      <c r="G74" s="51">
        <f t="shared" si="66"/>
        <v>-2.0634920634920637</v>
      </c>
      <c r="H74" s="74">
        <f t="shared" si="66"/>
        <v>-13.127998514203549</v>
      </c>
      <c r="I74" s="51">
        <f t="shared" si="66"/>
        <v>-13.225812377279803</v>
      </c>
      <c r="J74" s="51">
        <f t="shared" si="66"/>
        <v>-13.501619285836943</v>
      </c>
      <c r="K74" s="51">
        <f t="shared" si="66"/>
        <v>-14.35079918420973</v>
      </c>
      <c r="L74" s="51">
        <f t="shared" si="66"/>
        <v>-14.773242343850411</v>
      </c>
    </row>
    <row r="76" spans="2:12" ht="15.75" x14ac:dyDescent="0.3">
      <c r="B76" s="1" t="s">
        <v>12</v>
      </c>
      <c r="C76" s="2">
        <v>2021</v>
      </c>
      <c r="D76" s="2">
        <f t="shared" ref="D76:E76" si="67">+C76+1</f>
        <v>2022</v>
      </c>
      <c r="E76" s="2">
        <f t="shared" si="67"/>
        <v>2023</v>
      </c>
      <c r="F76" s="2">
        <f t="shared" ref="F76" si="68">+E76+1</f>
        <v>2024</v>
      </c>
      <c r="G76" s="2">
        <f>+F76+1</f>
        <v>2025</v>
      </c>
      <c r="H76" s="2">
        <f t="shared" ref="H76:L76" si="69">+G76+1</f>
        <v>2026</v>
      </c>
      <c r="I76" s="2">
        <f t="shared" si="69"/>
        <v>2027</v>
      </c>
      <c r="J76" s="2">
        <f t="shared" si="69"/>
        <v>2028</v>
      </c>
      <c r="K76" s="2">
        <f t="shared" si="69"/>
        <v>2029</v>
      </c>
      <c r="L76" s="2">
        <f t="shared" si="69"/>
        <v>2030</v>
      </c>
    </row>
    <row r="77" spans="2:12" ht="15.75" x14ac:dyDescent="0.3">
      <c r="B77" s="14" t="s">
        <v>13</v>
      </c>
      <c r="C77" s="5">
        <v>8052</v>
      </c>
      <c r="D77" s="5">
        <v>14614</v>
      </c>
      <c r="E77" s="5">
        <v>12691</v>
      </c>
      <c r="F77" s="5">
        <v>13801</v>
      </c>
      <c r="G77" s="49">
        <v>10921</v>
      </c>
      <c r="H77" s="68">
        <f>H165</f>
        <v>20986.669107758164</v>
      </c>
      <c r="I77" s="68">
        <f t="shared" ref="I77:L77" si="70">I165</f>
        <v>5812.9209739010603</v>
      </c>
      <c r="J77" s="68">
        <f t="shared" si="70"/>
        <v>-11808.391238949382</v>
      </c>
      <c r="K77" s="68">
        <f t="shared" si="70"/>
        <v>-30858.662633221997</v>
      </c>
      <c r="L77" s="68">
        <f t="shared" si="70"/>
        <v>-49572.79004934831</v>
      </c>
    </row>
    <row r="78" spans="2:12" ht="15.75" x14ac:dyDescent="0.3">
      <c r="B78" s="14" t="s">
        <v>17</v>
      </c>
      <c r="C78" s="5">
        <v>8192</v>
      </c>
      <c r="D78" s="5">
        <v>2606</v>
      </c>
      <c r="E78" s="5">
        <v>3274</v>
      </c>
      <c r="F78" s="5">
        <v>12481</v>
      </c>
      <c r="G78" s="5">
        <v>18479</v>
      </c>
      <c r="H78" s="64">
        <f>G78</f>
        <v>18479</v>
      </c>
      <c r="I78" s="42">
        <f t="shared" ref="I78:L78" si="71">H78</f>
        <v>18479</v>
      </c>
      <c r="J78" s="42">
        <f t="shared" si="71"/>
        <v>18479</v>
      </c>
      <c r="K78" s="42">
        <f t="shared" si="71"/>
        <v>18479</v>
      </c>
      <c r="L78" s="42">
        <f t="shared" si="71"/>
        <v>18479</v>
      </c>
    </row>
    <row r="79" spans="2:12" ht="15.75" x14ac:dyDescent="0.3">
      <c r="B79" s="14" t="s">
        <v>52</v>
      </c>
      <c r="C79" s="5">
        <v>2641</v>
      </c>
      <c r="D79" s="5">
        <v>2517</v>
      </c>
      <c r="E79" s="5">
        <v>2649</v>
      </c>
      <c r="F79" s="5">
        <v>2631</v>
      </c>
      <c r="G79" s="5">
        <v>2921</v>
      </c>
      <c r="H79" s="64">
        <f>(H39/365)*H51</f>
        <v>3652.0575835715831</v>
      </c>
      <c r="I79" s="42">
        <f t="shared" ref="I79:L79" si="72">(I39/365)*I51</f>
        <v>3852.9313387776533</v>
      </c>
      <c r="J79" s="42">
        <f t="shared" si="72"/>
        <v>4106.1725032652748</v>
      </c>
      <c r="K79" s="42">
        <f t="shared" si="72"/>
        <v>4418.489270598312</v>
      </c>
      <c r="L79" s="42">
        <f t="shared" si="72"/>
        <v>4578.0755069529932</v>
      </c>
    </row>
    <row r="80" spans="2:12" ht="15.75" x14ac:dyDescent="0.3">
      <c r="B80" s="16" t="s">
        <v>28</v>
      </c>
      <c r="C80" s="18">
        <v>8620</v>
      </c>
      <c r="D80" s="18">
        <v>8634</v>
      </c>
      <c r="E80" s="18">
        <v>8317</v>
      </c>
      <c r="F80" s="18">
        <v>8363</v>
      </c>
      <c r="G80" s="18">
        <v>9158</v>
      </c>
      <c r="H80" s="64">
        <f>AVERAGE(C80:G80)</f>
        <v>8618.4</v>
      </c>
      <c r="I80" s="42">
        <f t="shared" ref="I80:L80" si="73">AVERAGE(D80:H80)</f>
        <v>8618.08</v>
      </c>
      <c r="J80" s="42">
        <f t="shared" si="73"/>
        <v>8614.8960000000006</v>
      </c>
      <c r="K80" s="42">
        <f t="shared" si="73"/>
        <v>8674.4752000000008</v>
      </c>
      <c r="L80" s="42">
        <f t="shared" si="73"/>
        <v>8736.7702400000016</v>
      </c>
    </row>
    <row r="81" spans="2:12" ht="15.75" x14ac:dyDescent="0.3">
      <c r="B81" s="16" t="s">
        <v>33</v>
      </c>
      <c r="C81" s="18">
        <v>117</v>
      </c>
      <c r="D81" s="18">
        <v>154</v>
      </c>
      <c r="E81" s="18">
        <v>99</v>
      </c>
      <c r="F81" s="18">
        <v>207</v>
      </c>
      <c r="G81" s="18">
        <v>0</v>
      </c>
      <c r="H81" s="98">
        <f>G81</f>
        <v>0</v>
      </c>
      <c r="I81" s="99">
        <f>H81</f>
        <v>0</v>
      </c>
      <c r="J81" s="99">
        <f t="shared" ref="J81:L81" si="74">I81</f>
        <v>0</v>
      </c>
      <c r="K81" s="99">
        <f t="shared" si="74"/>
        <v>0</v>
      </c>
      <c r="L81" s="99">
        <f t="shared" si="74"/>
        <v>0</v>
      </c>
    </row>
    <row r="82" spans="2:12" ht="15.75" x14ac:dyDescent="0.3">
      <c r="B82" s="14" t="s">
        <v>14</v>
      </c>
      <c r="C82" s="5">
        <v>78823</v>
      </c>
      <c r="D82" s="5">
        <v>78151</v>
      </c>
      <c r="E82" s="5">
        <v>79741</v>
      </c>
      <c r="F82" s="5">
        <v>87550</v>
      </c>
      <c r="G82" s="5">
        <v>84679</v>
      </c>
      <c r="H82" s="64">
        <f>(H40/365)*H52</f>
        <v>58756.41220130906</v>
      </c>
      <c r="I82" s="42">
        <f t="shared" ref="I82:L82" si="75">(I40/365)*I52</f>
        <v>63735.766369283054</v>
      </c>
      <c r="J82" s="42">
        <f t="shared" si="75"/>
        <v>68499.741803202938</v>
      </c>
      <c r="K82" s="42">
        <f t="shared" si="75"/>
        <v>72934.806569558277</v>
      </c>
      <c r="L82" s="42">
        <f t="shared" si="75"/>
        <v>76927.674709974934</v>
      </c>
    </row>
    <row r="83" spans="2:12" ht="15.75" x14ac:dyDescent="0.3">
      <c r="B83" s="14" t="s">
        <v>19</v>
      </c>
      <c r="C83" s="5">
        <v>2221</v>
      </c>
      <c r="D83" s="5">
        <v>2847</v>
      </c>
      <c r="E83" s="5">
        <v>2504</v>
      </c>
      <c r="F83" s="18">
        <v>2965</v>
      </c>
      <c r="G83" s="5">
        <v>2301</v>
      </c>
      <c r="H83" s="107">
        <f>G83*(1+H24)</f>
        <v>2519.0098904162651</v>
      </c>
      <c r="I83" s="108">
        <f t="shared" ref="I83:L83" si="76">H83*(1+I24)</f>
        <v>2732.4851848919971</v>
      </c>
      <c r="J83" s="108">
        <f t="shared" si="76"/>
        <v>2936.7267440026626</v>
      </c>
      <c r="K83" s="108">
        <f t="shared" si="76"/>
        <v>3126.8672170596078</v>
      </c>
      <c r="L83" s="108">
        <f t="shared" si="76"/>
        <v>3298.0497988410984</v>
      </c>
    </row>
    <row r="84" spans="2:12" ht="15.75" x14ac:dyDescent="0.3">
      <c r="B84" s="6" t="s">
        <v>18</v>
      </c>
      <c r="C84" s="7">
        <f>SUM(C77:C83)</f>
        <v>108666</v>
      </c>
      <c r="D84" s="7">
        <f>SUM(D77:D83)</f>
        <v>109523</v>
      </c>
      <c r="E84" s="7">
        <f>SUM(E77:E83)</f>
        <v>109275</v>
      </c>
      <c r="F84" s="7">
        <f t="shared" ref="F84" si="77">SUM(F77:F83)</f>
        <v>127998</v>
      </c>
      <c r="G84" s="7">
        <f>SUM(G77:G83)</f>
        <v>128459</v>
      </c>
      <c r="H84" s="100">
        <f>SUM(H77:H83)</f>
        <v>113011.54878305507</v>
      </c>
      <c r="I84" s="7">
        <f t="shared" ref="I84:L84" si="78">SUM(I77:I83)</f>
        <v>103231.18386685377</v>
      </c>
      <c r="J84" s="7">
        <f t="shared" si="78"/>
        <v>90828.145811521492</v>
      </c>
      <c r="K84" s="7">
        <f t="shared" si="78"/>
        <v>76774.975623994207</v>
      </c>
      <c r="L84" s="7">
        <f t="shared" si="78"/>
        <v>62446.780206420714</v>
      </c>
    </row>
    <row r="85" spans="2:12" ht="15.75" x14ac:dyDescent="0.3">
      <c r="B85" s="16" t="s">
        <v>125</v>
      </c>
      <c r="C85" s="18">
        <v>1695</v>
      </c>
      <c r="D85" s="18">
        <v>1450</v>
      </c>
      <c r="E85" s="18">
        <v>860</v>
      </c>
      <c r="F85" s="18">
        <v>314</v>
      </c>
      <c r="G85" s="166">
        <v>241</v>
      </c>
      <c r="H85" s="5">
        <v>191</v>
      </c>
      <c r="I85" s="5">
        <v>141</v>
      </c>
      <c r="J85" s="5">
        <v>91</v>
      </c>
      <c r="K85" s="5">
        <v>41</v>
      </c>
      <c r="L85" s="5">
        <v>0</v>
      </c>
    </row>
    <row r="86" spans="2:12" ht="15.75" x14ac:dyDescent="0.3">
      <c r="B86" s="14" t="s">
        <v>15</v>
      </c>
      <c r="C86" s="5">
        <v>10918</v>
      </c>
      <c r="D86" s="5">
        <v>10550</v>
      </c>
      <c r="E86" s="5">
        <v>10661</v>
      </c>
      <c r="F86" s="5">
        <v>11412</v>
      </c>
      <c r="G86" s="5">
        <v>15361</v>
      </c>
      <c r="H86" s="67">
        <f>G86 - H140 - H120</f>
        <v>14746.44289830964</v>
      </c>
      <c r="I86" s="68">
        <f t="shared" ref="I86:L86" si="79">H86 - I140 - I120</f>
        <v>14070.236103898922</v>
      </c>
      <c r="J86" s="68">
        <f t="shared" si="79"/>
        <v>13455.302456072917</v>
      </c>
      <c r="K86" s="68">
        <f t="shared" si="79"/>
        <v>12703.811083009356</v>
      </c>
      <c r="L86" s="68">
        <f t="shared" si="79"/>
        <v>11793.147433532398</v>
      </c>
    </row>
    <row r="87" spans="2:12" ht="15.75" x14ac:dyDescent="0.3">
      <c r="B87" s="14" t="s">
        <v>29</v>
      </c>
      <c r="C87" s="5">
        <v>8068</v>
      </c>
      <c r="D87" s="5">
        <v>8057</v>
      </c>
      <c r="E87" s="5">
        <v>8093</v>
      </c>
      <c r="F87" s="5">
        <v>8084</v>
      </c>
      <c r="G87" s="18">
        <v>17275</v>
      </c>
      <c r="H87" s="97">
        <f>G87</f>
        <v>17275</v>
      </c>
      <c r="I87" s="18">
        <f t="shared" ref="I87:L87" si="80">H87</f>
        <v>17275</v>
      </c>
      <c r="J87" s="18">
        <f t="shared" si="80"/>
        <v>17275</v>
      </c>
      <c r="K87" s="18">
        <f t="shared" si="80"/>
        <v>17275</v>
      </c>
      <c r="L87" s="18">
        <f t="shared" si="80"/>
        <v>17275</v>
      </c>
    </row>
    <row r="88" spans="2:12" ht="15.75" x14ac:dyDescent="0.3">
      <c r="B88" s="14" t="s">
        <v>30</v>
      </c>
      <c r="C88" s="5">
        <v>2562</v>
      </c>
      <c r="D88" s="5">
        <v>2311</v>
      </c>
      <c r="E88" s="5">
        <v>2094</v>
      </c>
      <c r="F88" s="5">
        <v>1957</v>
      </c>
      <c r="G88" s="5">
        <v>1567</v>
      </c>
      <c r="H88" s="67">
        <f>AVERAGE(C88:G88)</f>
        <v>2098.1999999999998</v>
      </c>
      <c r="I88" s="68">
        <f t="shared" ref="I88:L88" si="81">AVERAGE(D88:H88)</f>
        <v>2005.44</v>
      </c>
      <c r="J88" s="68">
        <f t="shared" si="81"/>
        <v>1944.328</v>
      </c>
      <c r="K88" s="68">
        <f t="shared" si="81"/>
        <v>1914.3935999999999</v>
      </c>
      <c r="L88" s="68">
        <f t="shared" si="81"/>
        <v>1905.8723199999997</v>
      </c>
    </row>
    <row r="89" spans="2:12" ht="15.75" x14ac:dyDescent="0.3">
      <c r="B89" s="16" t="s">
        <v>31</v>
      </c>
      <c r="C89" s="18">
        <v>77</v>
      </c>
      <c r="D89" s="18">
        <v>63</v>
      </c>
      <c r="E89" s="18">
        <v>59</v>
      </c>
      <c r="F89" s="18">
        <v>185</v>
      </c>
      <c r="G89" s="18">
        <v>107</v>
      </c>
      <c r="H89" s="67">
        <f>G89</f>
        <v>107</v>
      </c>
      <c r="I89" s="68">
        <f>H89</f>
        <v>107</v>
      </c>
      <c r="J89" s="68">
        <f t="shared" ref="J89:L89" si="82">I89</f>
        <v>107</v>
      </c>
      <c r="K89" s="68">
        <f t="shared" si="82"/>
        <v>107</v>
      </c>
      <c r="L89" s="68">
        <f t="shared" si="82"/>
        <v>107</v>
      </c>
    </row>
    <row r="90" spans="2:12" ht="15.75" x14ac:dyDescent="0.3">
      <c r="B90" s="16" t="s">
        <v>32</v>
      </c>
      <c r="C90" s="18">
        <v>975</v>
      </c>
      <c r="D90" s="18">
        <v>983</v>
      </c>
      <c r="E90" s="18">
        <v>1035</v>
      </c>
      <c r="F90" s="18">
        <v>999</v>
      </c>
      <c r="G90" s="18">
        <v>1048</v>
      </c>
      <c r="H90" s="67">
        <f>G90</f>
        <v>1048</v>
      </c>
      <c r="I90" s="68">
        <f>H90</f>
        <v>1048</v>
      </c>
      <c r="J90" s="68">
        <f t="shared" ref="J90:L90" si="83">I90</f>
        <v>1048</v>
      </c>
      <c r="K90" s="68">
        <f t="shared" si="83"/>
        <v>1048</v>
      </c>
      <c r="L90" s="68">
        <f t="shared" si="83"/>
        <v>1048</v>
      </c>
    </row>
    <row r="91" spans="2:12" ht="15.75" x14ac:dyDescent="0.3">
      <c r="B91" s="16" t="s">
        <v>135</v>
      </c>
      <c r="C91" s="18">
        <v>5591</v>
      </c>
      <c r="D91" s="18">
        <v>4163</v>
      </c>
      <c r="E91" s="18">
        <v>4935</v>
      </c>
      <c r="F91" s="18">
        <v>5414</v>
      </c>
      <c r="G91" s="18">
        <v>4177</v>
      </c>
      <c r="H91" s="107">
        <f>G91*(1+H24)</f>
        <v>4572.7528519203561</v>
      </c>
      <c r="I91" s="108">
        <f t="shared" ref="I91:L91" si="84">H91*(1+I24)</f>
        <v>4960.2740622746069</v>
      </c>
      <c r="J91" s="108">
        <f t="shared" si="84"/>
        <v>5331.033294089144</v>
      </c>
      <c r="K91" s="108">
        <f t="shared" si="84"/>
        <v>5676.1948568700482</v>
      </c>
      <c r="L91" s="108">
        <f t="shared" si="84"/>
        <v>5986.942203285209</v>
      </c>
    </row>
    <row r="92" spans="2:12" ht="15.75" x14ac:dyDescent="0.3">
      <c r="B92" s="24" t="s">
        <v>20</v>
      </c>
      <c r="C92" s="25">
        <f>SUM(C84:C91)</f>
        <v>138552</v>
      </c>
      <c r="D92" s="25">
        <f t="shared" ref="D92:L92" si="85">SUM(D84:D91)</f>
        <v>137100</v>
      </c>
      <c r="E92" s="25">
        <f t="shared" si="85"/>
        <v>137012</v>
      </c>
      <c r="F92" s="25">
        <f t="shared" si="85"/>
        <v>156363</v>
      </c>
      <c r="G92" s="26">
        <f t="shared" si="85"/>
        <v>168235</v>
      </c>
      <c r="H92" s="71">
        <f t="shared" si="85"/>
        <v>153049.94453328507</v>
      </c>
      <c r="I92" s="71">
        <f t="shared" si="85"/>
        <v>142838.13403302728</v>
      </c>
      <c r="J92" s="71">
        <f t="shared" si="85"/>
        <v>130079.80956168355</v>
      </c>
      <c r="K92" s="71">
        <f t="shared" si="85"/>
        <v>115540.3751638736</v>
      </c>
      <c r="L92" s="71">
        <f t="shared" si="85"/>
        <v>100562.74216323832</v>
      </c>
    </row>
    <row r="93" spans="2:12" ht="15.75" x14ac:dyDescent="0.3">
      <c r="B93" s="10" t="s">
        <v>16</v>
      </c>
      <c r="C93" s="18">
        <v>9261</v>
      </c>
      <c r="D93" s="18">
        <v>10200</v>
      </c>
      <c r="E93" s="18">
        <v>11964</v>
      </c>
      <c r="F93" s="18">
        <v>11364</v>
      </c>
      <c r="G93" s="18">
        <v>13109</v>
      </c>
      <c r="H93" s="65">
        <f>(H41/365) *H52</f>
        <v>15078.897350071435</v>
      </c>
      <c r="I93" s="46">
        <f t="shared" ref="I93:L93" si="86">(I41/365) *I52</f>
        <v>16465.531900171274</v>
      </c>
      <c r="J93" s="46">
        <f t="shared" si="86"/>
        <v>17719.857107049727</v>
      </c>
      <c r="K93" s="46">
        <f t="shared" si="86"/>
        <v>18688.049672220473</v>
      </c>
      <c r="L93" s="46">
        <f t="shared" si="86"/>
        <v>19603.251415315601</v>
      </c>
    </row>
    <row r="94" spans="2:12" ht="15.75" x14ac:dyDescent="0.3">
      <c r="B94" s="16" t="s">
        <v>34</v>
      </c>
      <c r="C94" s="18">
        <v>18455</v>
      </c>
      <c r="D94" s="18">
        <v>21581</v>
      </c>
      <c r="E94" s="18">
        <v>22331</v>
      </c>
      <c r="F94" s="18">
        <v>24103</v>
      </c>
      <c r="G94" s="18">
        <v>27141</v>
      </c>
      <c r="H94" s="64">
        <f>AVERAGE(C94:G94)</f>
        <v>22722.2</v>
      </c>
      <c r="I94" s="42">
        <f t="shared" ref="I94:L94" si="87">AVERAGE(D94:H94)</f>
        <v>23575.64</v>
      </c>
      <c r="J94" s="42">
        <f t="shared" si="87"/>
        <v>23974.567999999999</v>
      </c>
      <c r="K94" s="42">
        <f t="shared" si="87"/>
        <v>24303.281599999998</v>
      </c>
      <c r="L94" s="42">
        <f t="shared" si="87"/>
        <v>24343.337919999998</v>
      </c>
    </row>
    <row r="95" spans="2:12" ht="15.75" x14ac:dyDescent="0.3">
      <c r="B95" s="16" t="s">
        <v>35</v>
      </c>
      <c r="C95" s="18">
        <v>52980</v>
      </c>
      <c r="D95" s="18">
        <v>53081</v>
      </c>
      <c r="E95" s="18">
        <v>56328</v>
      </c>
      <c r="F95" s="18">
        <v>60333</v>
      </c>
      <c r="G95" s="18">
        <v>59404</v>
      </c>
      <c r="H95" s="64">
        <f>AVERAGE(C95:G95)</f>
        <v>56425.2</v>
      </c>
      <c r="I95" s="42">
        <f t="shared" ref="I95:L95" si="88">AVERAGE(D95:H95)</f>
        <v>57114.240000000005</v>
      </c>
      <c r="J95" s="42">
        <f t="shared" si="88"/>
        <v>57920.887999999999</v>
      </c>
      <c r="K95" s="42">
        <f t="shared" si="88"/>
        <v>58239.465599999996</v>
      </c>
      <c r="L95" s="42">
        <f t="shared" si="88"/>
        <v>57820.758719999998</v>
      </c>
    </row>
    <row r="96" spans="2:12" ht="15.75" x14ac:dyDescent="0.3">
      <c r="B96" s="16" t="s">
        <v>36</v>
      </c>
      <c r="C96" s="18">
        <v>1296</v>
      </c>
      <c r="D96" s="18">
        <v>5190</v>
      </c>
      <c r="E96" s="18">
        <v>5204</v>
      </c>
      <c r="F96" s="18">
        <v>1278</v>
      </c>
      <c r="G96" s="18">
        <v>8461</v>
      </c>
      <c r="H96" s="101">
        <f>G96</f>
        <v>8461</v>
      </c>
      <c r="I96" s="102">
        <f>H96</f>
        <v>8461</v>
      </c>
      <c r="J96" s="102">
        <f t="shared" ref="J96:L96" si="89">I96</f>
        <v>8461</v>
      </c>
      <c r="K96" s="102">
        <f t="shared" si="89"/>
        <v>8461</v>
      </c>
      <c r="L96" s="102">
        <f t="shared" si="89"/>
        <v>8461</v>
      </c>
    </row>
    <row r="97" spans="2:12" ht="15.75" x14ac:dyDescent="0.3">
      <c r="B97" s="6" t="s">
        <v>23</v>
      </c>
      <c r="C97" s="7">
        <f t="shared" ref="C97:F97" si="90">SUM(C93:C96)</f>
        <v>81992</v>
      </c>
      <c r="D97" s="7">
        <f t="shared" si="90"/>
        <v>90052</v>
      </c>
      <c r="E97" s="7">
        <f t="shared" si="90"/>
        <v>95827</v>
      </c>
      <c r="F97" s="7">
        <f t="shared" si="90"/>
        <v>97078</v>
      </c>
      <c r="G97" s="7">
        <f>SUM(G93:G96)</f>
        <v>108115</v>
      </c>
      <c r="H97" s="95">
        <f t="shared" ref="H97:L97" si="91">SUM(H93:H96)</f>
        <v>102687.29735007143</v>
      </c>
      <c r="I97" s="71">
        <f t="shared" si="91"/>
        <v>105616.41190017128</v>
      </c>
      <c r="J97" s="71">
        <f t="shared" si="91"/>
        <v>108076.31310704973</v>
      </c>
      <c r="K97" s="71">
        <f t="shared" si="91"/>
        <v>109691.79687222047</v>
      </c>
      <c r="L97" s="71">
        <f t="shared" si="91"/>
        <v>110228.3480553156</v>
      </c>
    </row>
    <row r="98" spans="2:12" ht="15.75" x14ac:dyDescent="0.3">
      <c r="B98" s="16" t="s">
        <v>31</v>
      </c>
      <c r="C98" s="18">
        <v>218</v>
      </c>
      <c r="D98" s="18">
        <v>230</v>
      </c>
      <c r="E98" s="18">
        <v>229</v>
      </c>
      <c r="F98" s="18">
        <v>122</v>
      </c>
      <c r="G98" s="18">
        <v>216</v>
      </c>
      <c r="H98" s="67">
        <f>AVERAGE(C98:G98)</f>
        <v>203</v>
      </c>
      <c r="I98" s="68">
        <f t="shared" ref="I98:L98" si="92">AVERAGE(D98:H98)</f>
        <v>200</v>
      </c>
      <c r="J98" s="68">
        <f t="shared" si="92"/>
        <v>194</v>
      </c>
      <c r="K98" s="68">
        <f t="shared" si="92"/>
        <v>187</v>
      </c>
      <c r="L98" s="68">
        <f t="shared" si="92"/>
        <v>200</v>
      </c>
    </row>
    <row r="99" spans="2:12" ht="15.75" x14ac:dyDescent="0.3">
      <c r="B99" s="10" t="s">
        <v>37</v>
      </c>
      <c r="C99" s="18">
        <v>3528</v>
      </c>
      <c r="D99" s="18">
        <v>2503</v>
      </c>
      <c r="E99" s="18">
        <v>2233</v>
      </c>
      <c r="F99" s="18">
        <v>2176</v>
      </c>
      <c r="G99" s="18">
        <v>2091</v>
      </c>
      <c r="H99" s="97">
        <v>1900</v>
      </c>
      <c r="I99" s="18">
        <v>1700</v>
      </c>
      <c r="J99" s="18">
        <v>1500</v>
      </c>
      <c r="K99" s="18">
        <v>1300</v>
      </c>
      <c r="L99" s="18">
        <v>1100</v>
      </c>
    </row>
    <row r="100" spans="2:12" ht="15.75" x14ac:dyDescent="0.3">
      <c r="B100" s="10" t="s">
        <v>38</v>
      </c>
      <c r="C100" s="18">
        <v>9104</v>
      </c>
      <c r="D100" s="18">
        <v>6141</v>
      </c>
      <c r="E100" s="18">
        <v>6516</v>
      </c>
      <c r="F100" s="18">
        <v>5997</v>
      </c>
      <c r="G100" s="18">
        <v>4287</v>
      </c>
      <c r="H100" s="97">
        <v>3990</v>
      </c>
      <c r="I100" s="18">
        <v>3690</v>
      </c>
      <c r="J100" s="18">
        <v>3390</v>
      </c>
      <c r="K100" s="18">
        <v>3090</v>
      </c>
      <c r="L100" s="18">
        <v>2790</v>
      </c>
    </row>
    <row r="101" spans="2:12" ht="15.75" x14ac:dyDescent="0.3">
      <c r="B101" s="10" t="s">
        <v>39</v>
      </c>
      <c r="C101" s="18">
        <v>1750</v>
      </c>
      <c r="D101" s="18">
        <v>2211</v>
      </c>
      <c r="E101" s="18">
        <v>2332</v>
      </c>
      <c r="F101" s="18">
        <v>2318</v>
      </c>
      <c r="G101" s="18">
        <v>2432</v>
      </c>
      <c r="H101" s="67">
        <f>AVERAGE(C101:G101)</f>
        <v>2208.6</v>
      </c>
      <c r="I101" s="68">
        <f t="shared" ref="I101:L101" si="93">AVERAGE(D101:H101)</f>
        <v>2300.3200000000002</v>
      </c>
      <c r="J101" s="68">
        <f t="shared" si="93"/>
        <v>2318.1840000000002</v>
      </c>
      <c r="K101" s="68">
        <f t="shared" si="93"/>
        <v>2315.4207999999999</v>
      </c>
      <c r="L101" s="68">
        <f t="shared" si="93"/>
        <v>2314.9049599999998</v>
      </c>
    </row>
    <row r="102" spans="2:12" ht="15.75" x14ac:dyDescent="0.3">
      <c r="B102" s="10" t="s">
        <v>21</v>
      </c>
      <c r="C102" s="18">
        <v>56806</v>
      </c>
      <c r="D102" s="18">
        <v>51811</v>
      </c>
      <c r="E102" s="18">
        <v>47103</v>
      </c>
      <c r="F102" s="18">
        <v>52586</v>
      </c>
      <c r="G102" s="18">
        <v>45637</v>
      </c>
      <c r="H102" s="67">
        <f>G102 + H151 + H152</f>
        <v>42181</v>
      </c>
      <c r="I102" s="108">
        <f t="shared" ref="I102:L102" si="94">H102 + I151 + I152</f>
        <v>38725</v>
      </c>
      <c r="J102" s="108">
        <f t="shared" si="94"/>
        <v>35269</v>
      </c>
      <c r="K102" s="108">
        <f t="shared" si="94"/>
        <v>31813</v>
      </c>
      <c r="L102" s="108">
        <f t="shared" si="94"/>
        <v>28357</v>
      </c>
    </row>
    <row r="103" spans="2:12" ht="15.75" x14ac:dyDescent="0.3">
      <c r="B103" s="24" t="s">
        <v>22</v>
      </c>
      <c r="C103" s="25">
        <f t="shared" ref="C103:E103" si="95">SUM(C97:C102)</f>
        <v>153398</v>
      </c>
      <c r="D103" s="25">
        <f t="shared" si="95"/>
        <v>152948</v>
      </c>
      <c r="E103" s="25">
        <f t="shared" si="95"/>
        <v>154240</v>
      </c>
      <c r="F103" s="25">
        <f>SUM(F97:F102)</f>
        <v>160277</v>
      </c>
      <c r="G103" s="26">
        <f>SUM(G97:G102)</f>
        <v>162778</v>
      </c>
      <c r="H103" s="25">
        <f t="shared" ref="H103:L103" si="96">SUM(H97:H102)</f>
        <v>153169.89735007143</v>
      </c>
      <c r="I103" s="17">
        <f t="shared" si="96"/>
        <v>152231.73190017129</v>
      </c>
      <c r="J103" s="17">
        <f t="shared" si="96"/>
        <v>150747.49710704974</v>
      </c>
      <c r="K103" s="17">
        <f t="shared" si="96"/>
        <v>148397.21767222046</v>
      </c>
      <c r="L103" s="17">
        <f t="shared" si="96"/>
        <v>144990.2530153156</v>
      </c>
    </row>
    <row r="104" spans="2:12" ht="15.75" x14ac:dyDescent="0.3">
      <c r="B104" s="10" t="s">
        <v>40</v>
      </c>
      <c r="C104" s="18">
        <v>5061</v>
      </c>
      <c r="D104" s="5">
        <v>5061</v>
      </c>
      <c r="E104" s="5">
        <v>5061</v>
      </c>
      <c r="F104" s="5">
        <v>5061</v>
      </c>
      <c r="G104" s="18">
        <v>5061</v>
      </c>
      <c r="H104" s="103">
        <f>G104</f>
        <v>5061</v>
      </c>
      <c r="I104" s="5">
        <f>H104</f>
        <v>5061</v>
      </c>
      <c r="J104" s="5">
        <f t="shared" ref="J104:L104" si="97">I104</f>
        <v>5061</v>
      </c>
      <c r="K104" s="5">
        <f t="shared" si="97"/>
        <v>5061</v>
      </c>
      <c r="L104" s="5">
        <f t="shared" si="97"/>
        <v>5061</v>
      </c>
    </row>
    <row r="105" spans="2:12" ht="15.75" x14ac:dyDescent="0.3">
      <c r="B105" s="10" t="s">
        <v>24</v>
      </c>
      <c r="C105" s="5">
        <v>9052</v>
      </c>
      <c r="D105" s="5">
        <v>9947</v>
      </c>
      <c r="E105" s="5">
        <v>10309</v>
      </c>
      <c r="F105" s="5">
        <v>18964</v>
      </c>
      <c r="G105" s="5">
        <v>21441</v>
      </c>
      <c r="H105" s="67">
        <f>G105+H118</f>
        <v>22057.200000000001</v>
      </c>
      <c r="I105" s="68">
        <f t="shared" ref="I105:L105" si="98">H105+I118</f>
        <v>22630.04</v>
      </c>
      <c r="J105" s="68">
        <f t="shared" si="98"/>
        <v>23172.448</v>
      </c>
      <c r="K105" s="68">
        <f t="shared" si="98"/>
        <v>23685.337599999999</v>
      </c>
      <c r="L105" s="68">
        <f t="shared" si="98"/>
        <v>24219.405119999999</v>
      </c>
    </row>
    <row r="106" spans="2:12" ht="15.75" x14ac:dyDescent="0.3">
      <c r="B106" s="10" t="s">
        <v>25</v>
      </c>
      <c r="C106" s="5">
        <v>-51861</v>
      </c>
      <c r="D106" s="5">
        <v>-50814</v>
      </c>
      <c r="E106" s="5">
        <v>-49549</v>
      </c>
      <c r="F106" s="5">
        <v>-32386</v>
      </c>
      <c r="G106" s="5">
        <v>-28029</v>
      </c>
      <c r="H106" s="67">
        <f>G106+H119</f>
        <v>-26610.2</v>
      </c>
      <c r="I106" s="68">
        <f t="shared" ref="I106:L106" si="99">H106+I119</f>
        <v>-25154.240000000002</v>
      </c>
      <c r="J106" s="68">
        <f t="shared" si="99"/>
        <v>-23650.088000000003</v>
      </c>
      <c r="K106" s="68">
        <f t="shared" si="99"/>
        <v>-22148.105600000003</v>
      </c>
      <c r="L106" s="68">
        <f t="shared" si="99"/>
        <v>-20665.926720000003</v>
      </c>
    </row>
    <row r="107" spans="2:12" ht="15.75" x14ac:dyDescent="0.3">
      <c r="B107" s="10" t="s">
        <v>26</v>
      </c>
      <c r="C107" s="5">
        <v>34408</v>
      </c>
      <c r="D107" s="5">
        <v>29473</v>
      </c>
      <c r="E107" s="5">
        <v>27251</v>
      </c>
      <c r="F107" s="5">
        <v>15362</v>
      </c>
      <c r="G107" s="5">
        <v>17252</v>
      </c>
      <c r="H107" s="67">
        <f>G107+H66</f>
        <v>8769.6943312932835</v>
      </c>
      <c r="I107" s="68">
        <f t="shared" ref="I107:L107" si="100">H107+I66</f>
        <v>-237.24526275192693</v>
      </c>
      <c r="J107" s="68">
        <f t="shared" si="100"/>
        <v>-9816.8399505664274</v>
      </c>
      <c r="K107" s="68">
        <f t="shared" si="100"/>
        <v>-19747.075113365063</v>
      </c>
      <c r="L107" s="68">
        <f t="shared" si="100"/>
        <v>-30066.09143956003</v>
      </c>
    </row>
    <row r="108" spans="2:12" ht="15.75" x14ac:dyDescent="0.3">
      <c r="B108" s="10" t="s">
        <v>41</v>
      </c>
      <c r="C108" s="18">
        <v>-11659</v>
      </c>
      <c r="D108" s="18">
        <v>-9550</v>
      </c>
      <c r="E108" s="18">
        <v>-10305</v>
      </c>
      <c r="F108" s="18">
        <v>-10915</v>
      </c>
      <c r="G108" s="18">
        <v>-10277</v>
      </c>
      <c r="H108" s="20">
        <f>G108</f>
        <v>-10277</v>
      </c>
      <c r="I108" s="5">
        <f>G108</f>
        <v>-10277</v>
      </c>
      <c r="J108" s="5">
        <f t="shared" ref="J108:L108" si="101">H108</f>
        <v>-10277</v>
      </c>
      <c r="K108" s="5">
        <f t="shared" si="101"/>
        <v>-10277</v>
      </c>
      <c r="L108" s="5">
        <f t="shared" si="101"/>
        <v>-10277</v>
      </c>
    </row>
    <row r="109" spans="2:12" ht="15.75" x14ac:dyDescent="0.3">
      <c r="B109" s="6" t="s">
        <v>42</v>
      </c>
      <c r="C109" s="7">
        <f>SUM(C104:C108)</f>
        <v>-14999</v>
      </c>
      <c r="D109" s="7">
        <f>SUM(D104:D108)</f>
        <v>-15883</v>
      </c>
      <c r="E109" s="7">
        <f>SUM(E104:E108)</f>
        <v>-17233</v>
      </c>
      <c r="F109" s="7">
        <f>SUM(F104:F108)</f>
        <v>-3914</v>
      </c>
      <c r="G109" s="29">
        <f>SUM(G104:G108)</f>
        <v>5448</v>
      </c>
      <c r="H109" s="7">
        <f t="shared" ref="H109:L109" si="102">SUM(H104:H108)</f>
        <v>-999.30566870671646</v>
      </c>
      <c r="I109" s="7">
        <f t="shared" si="102"/>
        <v>-7977.4452627519277</v>
      </c>
      <c r="J109" s="7">
        <f t="shared" si="102"/>
        <v>-15510.47995056643</v>
      </c>
      <c r="K109" s="7">
        <f t="shared" si="102"/>
        <v>-23425.843113365067</v>
      </c>
      <c r="L109" s="7">
        <f t="shared" si="102"/>
        <v>-31728.613039560034</v>
      </c>
    </row>
    <row r="110" spans="2:12" ht="15.75" x14ac:dyDescent="0.3">
      <c r="B110" s="4" t="s">
        <v>45</v>
      </c>
      <c r="C110" s="5">
        <v>0</v>
      </c>
      <c r="D110" s="5">
        <v>0</v>
      </c>
      <c r="E110" s="5">
        <v>0</v>
      </c>
      <c r="F110" s="5">
        <v>6</v>
      </c>
      <c r="G110" s="5">
        <v>6</v>
      </c>
      <c r="H110" s="67">
        <f>G110</f>
        <v>6</v>
      </c>
      <c r="I110" s="5">
        <v>0</v>
      </c>
      <c r="J110" s="5">
        <v>0</v>
      </c>
      <c r="K110" s="5">
        <v>0</v>
      </c>
      <c r="L110" s="5">
        <v>0</v>
      </c>
    </row>
    <row r="111" spans="2:12" ht="15.75" x14ac:dyDescent="0.3">
      <c r="B111" s="10" t="s">
        <v>43</v>
      </c>
      <c r="C111" s="18">
        <v>153</v>
      </c>
      <c r="D111" s="18">
        <v>35</v>
      </c>
      <c r="E111" s="18">
        <v>5</v>
      </c>
      <c r="F111" s="18">
        <v>-6</v>
      </c>
      <c r="G111" s="18">
        <v>3</v>
      </c>
      <c r="H111" s="101">
        <f>G111</f>
        <v>3</v>
      </c>
      <c r="I111" s="18">
        <f>H111</f>
        <v>3</v>
      </c>
      <c r="J111" s="18">
        <f t="shared" ref="J111:L111" si="103">I111</f>
        <v>3</v>
      </c>
      <c r="K111" s="18">
        <f t="shared" si="103"/>
        <v>3</v>
      </c>
      <c r="L111" s="18">
        <f t="shared" si="103"/>
        <v>3</v>
      </c>
    </row>
    <row r="112" spans="2:12" ht="15.75" x14ac:dyDescent="0.3">
      <c r="B112" s="24" t="s">
        <v>27</v>
      </c>
      <c r="C112" s="25">
        <f>SUM(C109:C111)</f>
        <v>-14846</v>
      </c>
      <c r="D112" s="25">
        <f t="shared" ref="D112:L112" si="104">SUM(D109:D111)</f>
        <v>-15848</v>
      </c>
      <c r="E112" s="25">
        <f t="shared" si="104"/>
        <v>-17228</v>
      </c>
      <c r="F112" s="25">
        <f t="shared" si="104"/>
        <v>-3914</v>
      </c>
      <c r="G112" s="29">
        <f t="shared" si="104"/>
        <v>5457</v>
      </c>
      <c r="H112" s="7">
        <f t="shared" si="104"/>
        <v>-990.30566870671646</v>
      </c>
      <c r="I112" s="7">
        <f t="shared" si="104"/>
        <v>-7974.4452627519277</v>
      </c>
      <c r="J112" s="7">
        <f t="shared" si="104"/>
        <v>-15507.47995056643</v>
      </c>
      <c r="K112" s="7">
        <f t="shared" si="104"/>
        <v>-23422.843113365067</v>
      </c>
      <c r="L112" s="7">
        <f t="shared" si="104"/>
        <v>-31725.613039560034</v>
      </c>
    </row>
    <row r="113" spans="2:12" ht="16.5" thickBot="1" x14ac:dyDescent="0.35">
      <c r="B113" s="12" t="s">
        <v>44</v>
      </c>
      <c r="C113" s="13">
        <f t="shared" ref="C113:H113" si="105">SUM(C103+C112)</f>
        <v>138552</v>
      </c>
      <c r="D113" s="13">
        <f t="shared" si="105"/>
        <v>137100</v>
      </c>
      <c r="E113" s="13">
        <f t="shared" si="105"/>
        <v>137012</v>
      </c>
      <c r="F113" s="13">
        <f t="shared" si="105"/>
        <v>156363</v>
      </c>
      <c r="G113" s="13">
        <f t="shared" si="105"/>
        <v>168235</v>
      </c>
      <c r="H113" s="75">
        <f t="shared" si="105"/>
        <v>152179.59168136472</v>
      </c>
      <c r="I113" s="13">
        <f t="shared" ref="I113:L113" si="106">SUM(I103+I112)</f>
        <v>144257.28663741937</v>
      </c>
      <c r="J113" s="13">
        <f t="shared" si="106"/>
        <v>135240.01715648331</v>
      </c>
      <c r="K113" s="13">
        <f t="shared" si="106"/>
        <v>124974.3745588554</v>
      </c>
      <c r="L113" s="13">
        <f t="shared" si="106"/>
        <v>113264.63997575556</v>
      </c>
    </row>
    <row r="114" spans="2:12" ht="16.5" thickTop="1" x14ac:dyDescent="0.3">
      <c r="B114" s="16" t="s">
        <v>114</v>
      </c>
      <c r="C114" s="39" t="str">
        <f>IF(C113=C92, "✓", "✗")</f>
        <v>✓</v>
      </c>
      <c r="D114" s="39" t="str">
        <f>IF(D113=D92, "✓", "✗")</f>
        <v>✓</v>
      </c>
      <c r="E114" s="39" t="str">
        <f>IF(E113=E92, "✓", "✗")</f>
        <v>✓</v>
      </c>
      <c r="F114" s="39" t="str">
        <f>IF(F113=F92, "✓", "✗")</f>
        <v>✓</v>
      </c>
      <c r="G114" s="39" t="str">
        <f>IF(G113=G92, "✓", "✗")</f>
        <v>✓</v>
      </c>
      <c r="H114" s="109" t="str">
        <f t="shared" ref="H114:L114" si="107">IF(H113=H92, "✓", "✗")</f>
        <v>✗</v>
      </c>
      <c r="I114" s="109" t="str">
        <f t="shared" si="107"/>
        <v>✗</v>
      </c>
      <c r="J114" s="109" t="str">
        <f t="shared" si="107"/>
        <v>✗</v>
      </c>
      <c r="K114" s="109" t="str">
        <f t="shared" si="107"/>
        <v>✗</v>
      </c>
      <c r="L114" s="109" t="str">
        <f t="shared" si="107"/>
        <v>✗</v>
      </c>
    </row>
    <row r="115" spans="2:12" ht="15.75" x14ac:dyDescent="0.3">
      <c r="B115" s="10"/>
      <c r="H115" s="106"/>
      <c r="I115" s="106"/>
      <c r="J115" s="106"/>
      <c r="K115" s="106"/>
      <c r="L115" s="106"/>
    </row>
    <row r="116" spans="2:12" ht="15.75" x14ac:dyDescent="0.3">
      <c r="B116" s="1" t="s">
        <v>48</v>
      </c>
      <c r="C116" s="2">
        <v>2021</v>
      </c>
      <c r="D116" s="2">
        <f t="shared" ref="D116" si="108">+C116+1</f>
        <v>2022</v>
      </c>
      <c r="E116" s="2">
        <f t="shared" ref="E116" si="109">+D116+1</f>
        <v>2023</v>
      </c>
      <c r="F116" s="2">
        <f t="shared" ref="F116" si="110">+E116+1</f>
        <v>2024</v>
      </c>
      <c r="G116" s="2">
        <f>+F116+1</f>
        <v>2025</v>
      </c>
      <c r="H116" s="2">
        <f t="shared" ref="H116" si="111">+G116+1</f>
        <v>2026</v>
      </c>
      <c r="I116" s="2">
        <f t="shared" ref="I116" si="112">+H116+1</f>
        <v>2027</v>
      </c>
      <c r="J116" s="2">
        <f t="shared" ref="J116" si="113">+I116+1</f>
        <v>2028</v>
      </c>
      <c r="K116" s="2">
        <f t="shared" ref="K116" si="114">+J116+1</f>
        <v>2029</v>
      </c>
      <c r="L116" s="2">
        <f t="shared" ref="L116" si="115">+K116+1</f>
        <v>2030</v>
      </c>
    </row>
    <row r="117" spans="2:12" ht="15.75" x14ac:dyDescent="0.3">
      <c r="B117" s="14" t="s">
        <v>49</v>
      </c>
      <c r="C117" s="5">
        <f>C66</f>
        <v>-5503</v>
      </c>
      <c r="D117" s="5">
        <f>D66</f>
        <v>-6583</v>
      </c>
      <c r="E117" s="5">
        <f>E66</f>
        <v>-1202</v>
      </c>
      <c r="F117" s="5">
        <f>F66</f>
        <v>-20817</v>
      </c>
      <c r="G117" s="5">
        <f>G66</f>
        <v>-1225</v>
      </c>
      <c r="H117" s="20">
        <f t="shared" ref="H117:L117" si="116">H66</f>
        <v>-8482.3056687067165</v>
      </c>
      <c r="I117" s="5">
        <f t="shared" si="116"/>
        <v>-9006.9395940452105</v>
      </c>
      <c r="J117" s="5">
        <f t="shared" si="116"/>
        <v>-9579.5946878145005</v>
      </c>
      <c r="K117" s="5">
        <f t="shared" si="116"/>
        <v>-9930.2351627986354</v>
      </c>
      <c r="L117" s="5">
        <f t="shared" si="116"/>
        <v>-10319.016326194967</v>
      </c>
    </row>
    <row r="118" spans="2:12" ht="15.75" x14ac:dyDescent="0.3">
      <c r="B118" s="14" t="s">
        <v>60</v>
      </c>
      <c r="C118" s="5">
        <v>833</v>
      </c>
      <c r="D118" s="5">
        <v>725</v>
      </c>
      <c r="E118" s="5">
        <v>690</v>
      </c>
      <c r="F118" s="5">
        <v>407</v>
      </c>
      <c r="G118" s="5">
        <v>426</v>
      </c>
      <c r="H118" s="67">
        <f>AVERAGE(C118:G118)</f>
        <v>616.20000000000005</v>
      </c>
      <c r="I118" s="68">
        <f t="shared" ref="I118:L118" si="117">AVERAGE(D118:H118)</f>
        <v>572.83999999999992</v>
      </c>
      <c r="J118" s="68">
        <f t="shared" si="117"/>
        <v>542.40800000000002</v>
      </c>
      <c r="K118" s="68">
        <f t="shared" si="117"/>
        <v>512.88959999999997</v>
      </c>
      <c r="L118" s="68">
        <f t="shared" si="117"/>
        <v>534.06751999999994</v>
      </c>
    </row>
    <row r="119" spans="2:12" ht="15.75" x14ac:dyDescent="0.3">
      <c r="B119" s="14" t="s">
        <v>61</v>
      </c>
      <c r="C119" s="5">
        <v>1233</v>
      </c>
      <c r="D119" s="5">
        <v>1215</v>
      </c>
      <c r="E119" s="5">
        <v>1515</v>
      </c>
      <c r="F119" s="5">
        <v>1601</v>
      </c>
      <c r="G119" s="5">
        <v>1530</v>
      </c>
      <c r="H119" s="67">
        <f>AVERAGE(C119:G119)</f>
        <v>1418.8</v>
      </c>
      <c r="I119" s="68">
        <f t="shared" ref="I119:L119" si="118">AVERAGE(D119:H119)</f>
        <v>1455.96</v>
      </c>
      <c r="J119" s="68">
        <f t="shared" si="118"/>
        <v>1504.152</v>
      </c>
      <c r="K119" s="68">
        <f t="shared" si="118"/>
        <v>1501.9824000000001</v>
      </c>
      <c r="L119" s="68">
        <f t="shared" si="118"/>
        <v>1482.1788799999999</v>
      </c>
    </row>
    <row r="120" spans="2:12" ht="15.75" x14ac:dyDescent="0.3">
      <c r="B120" s="14" t="s">
        <v>123</v>
      </c>
      <c r="C120" s="5">
        <v>2144</v>
      </c>
      <c r="D120" s="5">
        <v>1979</v>
      </c>
      <c r="E120" s="5">
        <v>1861</v>
      </c>
      <c r="F120" s="5">
        <v>1836</v>
      </c>
      <c r="G120" s="5">
        <v>1953</v>
      </c>
      <c r="H120" s="67">
        <f>H37*H51</f>
        <v>2394.7571016903594</v>
      </c>
      <c r="I120" s="68">
        <f t="shared" ref="I120:L120" si="119">I37*I51</f>
        <v>2616.4467944107196</v>
      </c>
      <c r="J120" s="68">
        <f t="shared" si="119"/>
        <v>2698.8216478260033</v>
      </c>
      <c r="K120" s="68">
        <f t="shared" si="119"/>
        <v>2946.7569730635619</v>
      </c>
      <c r="L120" s="68">
        <f t="shared" si="119"/>
        <v>3098.982369476958</v>
      </c>
    </row>
    <row r="121" spans="2:12" ht="15.75" x14ac:dyDescent="0.3">
      <c r="B121" s="14" t="s">
        <v>82</v>
      </c>
      <c r="C121" s="5">
        <v>98</v>
      </c>
      <c r="D121" s="5">
        <v>112</v>
      </c>
      <c r="E121" s="5">
        <v>46</v>
      </c>
      <c r="F121" s="5">
        <v>112</v>
      </c>
      <c r="G121" s="5">
        <v>45</v>
      </c>
      <c r="H121" s="20">
        <v>0</v>
      </c>
      <c r="I121" s="5">
        <v>0</v>
      </c>
      <c r="J121" s="5">
        <v>0</v>
      </c>
      <c r="K121" s="5">
        <v>0</v>
      </c>
      <c r="L121" s="5">
        <v>0</v>
      </c>
    </row>
    <row r="122" spans="2:12" ht="15.75" x14ac:dyDescent="0.3">
      <c r="B122" s="14" t="s">
        <v>83</v>
      </c>
      <c r="C122" s="5">
        <v>0</v>
      </c>
      <c r="D122" s="5">
        <v>37</v>
      </c>
      <c r="E122" s="5">
        <v>0</v>
      </c>
      <c r="F122" s="5">
        <v>0</v>
      </c>
      <c r="G122" s="5">
        <v>0</v>
      </c>
      <c r="H122" s="20">
        <v>0</v>
      </c>
      <c r="I122" s="5">
        <v>0</v>
      </c>
      <c r="J122" s="5">
        <v>0</v>
      </c>
      <c r="K122" s="5">
        <v>0</v>
      </c>
      <c r="L122" s="5">
        <v>0</v>
      </c>
    </row>
    <row r="123" spans="2:12" ht="15.75" x14ac:dyDescent="0.3">
      <c r="B123" s="16" t="s">
        <v>46</v>
      </c>
      <c r="C123" s="5">
        <v>-277</v>
      </c>
      <c r="D123" s="5">
        <v>-6</v>
      </c>
      <c r="E123" s="5">
        <v>-2</v>
      </c>
      <c r="F123" s="5">
        <v>-46</v>
      </c>
      <c r="G123" s="5">
        <v>-9672</v>
      </c>
      <c r="H123" s="20">
        <v>0</v>
      </c>
      <c r="I123" s="5">
        <v>0</v>
      </c>
      <c r="J123" s="5">
        <v>0</v>
      </c>
      <c r="K123" s="5">
        <v>0</v>
      </c>
      <c r="L123" s="5">
        <v>0</v>
      </c>
    </row>
    <row r="124" spans="2:12" ht="15.75" x14ac:dyDescent="0.3">
      <c r="B124" s="14" t="s">
        <v>62</v>
      </c>
      <c r="C124" s="5">
        <v>3460</v>
      </c>
      <c r="D124" s="5">
        <v>0</v>
      </c>
      <c r="E124" s="5">
        <v>0</v>
      </c>
      <c r="F124" s="5">
        <v>4079</v>
      </c>
      <c r="G124" s="5">
        <v>5283</v>
      </c>
      <c r="H124" s="20">
        <v>0</v>
      </c>
      <c r="I124" s="5">
        <v>0</v>
      </c>
      <c r="J124" s="5">
        <v>0</v>
      </c>
      <c r="K124" s="5">
        <v>0</v>
      </c>
      <c r="L124" s="5">
        <v>0</v>
      </c>
    </row>
    <row r="125" spans="2:12" ht="15.75" x14ac:dyDescent="0.3">
      <c r="B125" s="16" t="s">
        <v>63</v>
      </c>
      <c r="C125" s="5">
        <v>360</v>
      </c>
      <c r="D125" s="5">
        <v>364</v>
      </c>
      <c r="E125" s="5">
        <v>3</v>
      </c>
      <c r="F125" s="5">
        <v>528</v>
      </c>
      <c r="G125" s="5">
        <v>264</v>
      </c>
      <c r="H125" s="107">
        <f>AVERAGE(E125:G125)</f>
        <v>265</v>
      </c>
      <c r="I125" s="108">
        <f t="shared" ref="I125:L125" si="120">AVERAGE(F125:H125)</f>
        <v>352.33333333333331</v>
      </c>
      <c r="J125" s="108">
        <f t="shared" si="120"/>
        <v>293.77777777777777</v>
      </c>
      <c r="K125" s="108">
        <f t="shared" si="120"/>
        <v>303.7037037037037</v>
      </c>
      <c r="L125" s="108">
        <f t="shared" si="120"/>
        <v>316.60493827160491</v>
      </c>
    </row>
    <row r="126" spans="2:12" ht="15.75" x14ac:dyDescent="0.3">
      <c r="B126" s="31" t="s">
        <v>51</v>
      </c>
      <c r="C126" s="27"/>
      <c r="D126" s="27"/>
      <c r="E126" s="27"/>
      <c r="F126" s="27"/>
      <c r="G126" s="32"/>
      <c r="H126" s="106"/>
      <c r="I126" s="106"/>
      <c r="J126" s="106"/>
      <c r="K126" s="106"/>
      <c r="L126" s="106"/>
    </row>
    <row r="127" spans="2:12" ht="15.75" x14ac:dyDescent="0.3">
      <c r="B127" s="14" t="s">
        <v>52</v>
      </c>
      <c r="C127" s="18">
        <v>-713</v>
      </c>
      <c r="D127" s="18">
        <v>142</v>
      </c>
      <c r="E127" s="18">
        <v>-128</v>
      </c>
      <c r="F127" s="18">
        <v>-37</v>
      </c>
      <c r="G127" s="18">
        <v>-95</v>
      </c>
      <c r="H127" s="67">
        <f>-(H79-G79)</f>
        <v>-731.05758357158311</v>
      </c>
      <c r="I127" s="68">
        <f t="shared" ref="I127:L127" si="121">-(I79-H79)</f>
        <v>-200.8737552060702</v>
      </c>
      <c r="J127" s="68">
        <f t="shared" si="121"/>
        <v>-253.24116448762152</v>
      </c>
      <c r="K127" s="68">
        <f t="shared" si="121"/>
        <v>-312.31676733303721</v>
      </c>
      <c r="L127" s="68">
        <f t="shared" si="121"/>
        <v>-159.5862363546812</v>
      </c>
    </row>
    <row r="128" spans="2:12" ht="15.75" x14ac:dyDescent="0.3">
      <c r="B128" s="14" t="s">
        <v>28</v>
      </c>
      <c r="C128" s="18">
        <v>-586</v>
      </c>
      <c r="D128" s="18">
        <v>6</v>
      </c>
      <c r="E128" s="18">
        <v>321</v>
      </c>
      <c r="F128" s="18">
        <v>-60</v>
      </c>
      <c r="G128" s="18">
        <v>-677</v>
      </c>
      <c r="H128" s="67">
        <f>-(H80-G80)</f>
        <v>539.60000000000036</v>
      </c>
      <c r="I128" s="68">
        <f t="shared" ref="I128:L128" si="122">-(I80-H80)</f>
        <v>0.31999999999970896</v>
      </c>
      <c r="J128" s="68">
        <f t="shared" si="122"/>
        <v>3.183999999999287</v>
      </c>
      <c r="K128" s="68">
        <f t="shared" si="122"/>
        <v>-59.579200000000128</v>
      </c>
      <c r="L128" s="68">
        <f t="shared" si="122"/>
        <v>-62.295040000000881</v>
      </c>
    </row>
    <row r="129" spans="2:12" ht="15.75" x14ac:dyDescent="0.3">
      <c r="B129" s="14" t="s">
        <v>53</v>
      </c>
      <c r="C129" s="18">
        <v>2505</v>
      </c>
      <c r="D129" s="18">
        <v>108</v>
      </c>
      <c r="E129" s="18">
        <v>3365</v>
      </c>
      <c r="F129" s="18">
        <v>4069</v>
      </c>
      <c r="G129" s="18">
        <v>-723</v>
      </c>
      <c r="H129" s="67">
        <f>H95-G95</f>
        <v>-2978.8000000000029</v>
      </c>
      <c r="I129" s="68">
        <f t="shared" ref="I129:L129" si="123">I95-H95</f>
        <v>689.04000000000815</v>
      </c>
      <c r="J129" s="68">
        <f t="shared" si="123"/>
        <v>806.64799999999377</v>
      </c>
      <c r="K129" s="68">
        <f t="shared" si="123"/>
        <v>318.57759999999689</v>
      </c>
      <c r="L129" s="68">
        <f t="shared" si="123"/>
        <v>-418.70687999999791</v>
      </c>
    </row>
    <row r="130" spans="2:12" ht="15.75" x14ac:dyDescent="0.3">
      <c r="B130" s="14" t="s">
        <v>54</v>
      </c>
      <c r="C130" s="18">
        <v>-1127</v>
      </c>
      <c r="D130" s="18">
        <v>420</v>
      </c>
      <c r="E130" s="18">
        <v>-1681</v>
      </c>
      <c r="F130" s="18">
        <v>-12353</v>
      </c>
      <c r="G130" s="33">
        <v>-1501</v>
      </c>
      <c r="H130" s="68">
        <f>(G82-H82)</f>
        <v>25922.58779869094</v>
      </c>
      <c r="I130" s="68">
        <f t="shared" ref="I130:L130" si="124">(H82-I82)</f>
        <v>-4979.3541679739938</v>
      </c>
      <c r="J130" s="68">
        <f t="shared" si="124"/>
        <v>-4763.9754339198844</v>
      </c>
      <c r="K130" s="68">
        <f t="shared" si="124"/>
        <v>-4435.0647663553391</v>
      </c>
      <c r="L130" s="68">
        <f t="shared" si="124"/>
        <v>-3992.8681404166564</v>
      </c>
    </row>
    <row r="131" spans="2:12" ht="15.75" x14ac:dyDescent="0.3">
      <c r="B131" s="14" t="s">
        <v>19</v>
      </c>
      <c r="C131" s="18">
        <v>345</v>
      </c>
      <c r="D131" s="18">
        <v>-591</v>
      </c>
      <c r="E131" s="18">
        <v>389</v>
      </c>
      <c r="F131" s="18">
        <v>-16</v>
      </c>
      <c r="G131" s="33">
        <v>155</v>
      </c>
      <c r="H131" s="68">
        <f>(G83-H83)</f>
        <v>-218.00989041626508</v>
      </c>
      <c r="I131" s="68">
        <f t="shared" ref="I131:L131" si="125">(H83-I83)</f>
        <v>-213.47529447573197</v>
      </c>
      <c r="J131" s="68">
        <f t="shared" si="125"/>
        <v>-204.24155911066555</v>
      </c>
      <c r="K131" s="68">
        <f t="shared" si="125"/>
        <v>-190.14047305694521</v>
      </c>
      <c r="L131" s="68">
        <f t="shared" si="125"/>
        <v>-171.18258178149063</v>
      </c>
    </row>
    <row r="132" spans="2:12" ht="15.75" x14ac:dyDescent="0.3">
      <c r="B132" s="14" t="s">
        <v>16</v>
      </c>
      <c r="C132" s="18">
        <v>-3783</v>
      </c>
      <c r="D132" s="18">
        <v>838</v>
      </c>
      <c r="E132" s="18">
        <v>1672</v>
      </c>
      <c r="F132" s="18">
        <v>-793</v>
      </c>
      <c r="G132" s="33">
        <v>724</v>
      </c>
      <c r="H132" s="68">
        <f>(H93-G93)</f>
        <v>1969.8973500714346</v>
      </c>
      <c r="I132" s="68">
        <f>(I93-H93)</f>
        <v>1386.6345500998395</v>
      </c>
      <c r="J132" s="68">
        <f t="shared" ref="J132:L132" si="126">(J93-I93)</f>
        <v>1254.3252068784532</v>
      </c>
      <c r="K132" s="68">
        <f t="shared" si="126"/>
        <v>968.19256517074609</v>
      </c>
      <c r="L132" s="68">
        <f t="shared" si="126"/>
        <v>915.20174309512731</v>
      </c>
    </row>
    <row r="133" spans="2:12" ht="15.75" x14ac:dyDescent="0.3">
      <c r="B133" s="14" t="s">
        <v>34</v>
      </c>
      <c r="C133" s="18">
        <v>-3687</v>
      </c>
      <c r="D133" s="18">
        <v>2956</v>
      </c>
      <c r="E133" s="18">
        <v>779</v>
      </c>
      <c r="F133" s="18">
        <v>1563</v>
      </c>
      <c r="G133" s="33">
        <v>1341</v>
      </c>
      <c r="H133" s="68">
        <f>H94-G94</f>
        <v>-4418.7999999999993</v>
      </c>
      <c r="I133" s="68">
        <f t="shared" ref="I133:L133" si="127">I94-H94</f>
        <v>853.43999999999869</v>
      </c>
      <c r="J133" s="68">
        <f t="shared" si="127"/>
        <v>398.92799999999988</v>
      </c>
      <c r="K133" s="68">
        <f t="shared" si="127"/>
        <v>328.71359999999913</v>
      </c>
      <c r="L133" s="68">
        <f t="shared" si="127"/>
        <v>40.056319999999687</v>
      </c>
    </row>
    <row r="134" spans="2:12" ht="15.75" x14ac:dyDescent="0.3">
      <c r="B134" s="14" t="s">
        <v>64</v>
      </c>
      <c r="C134" s="18">
        <v>733</v>
      </c>
      <c r="D134" s="18">
        <v>1347</v>
      </c>
      <c r="E134" s="18">
        <v>44</v>
      </c>
      <c r="F134" s="18">
        <v>-567</v>
      </c>
      <c r="G134" s="18">
        <v>115</v>
      </c>
      <c r="H134" s="67">
        <f>H89-G89</f>
        <v>0</v>
      </c>
      <c r="I134" s="68">
        <f t="shared" ref="I134:L134" si="128">I89-H89</f>
        <v>0</v>
      </c>
      <c r="J134" s="68">
        <f t="shared" si="128"/>
        <v>0</v>
      </c>
      <c r="K134" s="68">
        <f t="shared" si="128"/>
        <v>0</v>
      </c>
      <c r="L134" s="68">
        <f t="shared" si="128"/>
        <v>0</v>
      </c>
    </row>
    <row r="135" spans="2:12" ht="15.75" x14ac:dyDescent="0.3">
      <c r="B135" s="14" t="s">
        <v>39</v>
      </c>
      <c r="C135" s="18">
        <v>-206</v>
      </c>
      <c r="D135" s="18">
        <v>-158</v>
      </c>
      <c r="E135" s="18">
        <v>-313</v>
      </c>
      <c r="F135" s="18">
        <v>-329</v>
      </c>
      <c r="G135" s="33">
        <v>-346</v>
      </c>
      <c r="H135" s="68">
        <f>H101-G101</f>
        <v>-223.40000000000009</v>
      </c>
      <c r="I135" s="68">
        <f t="shared" ref="I135:L135" si="129">I101-H101</f>
        <v>91.720000000000255</v>
      </c>
      <c r="J135" s="68">
        <f t="shared" si="129"/>
        <v>17.864000000000033</v>
      </c>
      <c r="K135" s="68">
        <f t="shared" si="129"/>
        <v>-2.7632000000003245</v>
      </c>
      <c r="L135" s="68">
        <f t="shared" si="129"/>
        <v>-0.51584000000002561</v>
      </c>
    </row>
    <row r="136" spans="2:12" ht="15.75" x14ac:dyDescent="0.3">
      <c r="B136" s="14" t="s">
        <v>65</v>
      </c>
      <c r="C136" s="18">
        <v>-972</v>
      </c>
      <c r="D136" s="18">
        <v>-1378</v>
      </c>
      <c r="E136" s="18">
        <v>-1049</v>
      </c>
      <c r="F136" s="18">
        <v>-959</v>
      </c>
      <c r="G136" s="18">
        <v>-593</v>
      </c>
      <c r="H136" s="67">
        <f>AVERAGE(E136:G136)</f>
        <v>-867</v>
      </c>
      <c r="I136" s="68">
        <f t="shared" ref="I136:L136" si="130">AVERAGE(F136:H136)</f>
        <v>-806.33333333333337</v>
      </c>
      <c r="J136" s="68">
        <f t="shared" si="130"/>
        <v>-755.44444444444446</v>
      </c>
      <c r="K136" s="68">
        <f t="shared" si="130"/>
        <v>-809.59259259259261</v>
      </c>
      <c r="L136" s="68">
        <f t="shared" si="130"/>
        <v>-790.45679012345681</v>
      </c>
    </row>
    <row r="137" spans="2:12" ht="15.75" x14ac:dyDescent="0.3">
      <c r="B137" s="14" t="s">
        <v>124</v>
      </c>
      <c r="C137" s="18">
        <v>210</v>
      </c>
      <c r="D137" s="18">
        <v>142</v>
      </c>
      <c r="E137" s="18">
        <v>571</v>
      </c>
      <c r="F137" s="18">
        <v>512</v>
      </c>
      <c r="G137" s="33">
        <v>274</v>
      </c>
      <c r="H137" s="68">
        <f>-(H85-G85)</f>
        <v>50</v>
      </c>
      <c r="I137" s="68">
        <f t="shared" ref="I137:L137" si="131">-(I85-H85)</f>
        <v>50</v>
      </c>
      <c r="J137" s="68">
        <f t="shared" si="131"/>
        <v>50</v>
      </c>
      <c r="K137" s="68">
        <f t="shared" si="131"/>
        <v>50</v>
      </c>
      <c r="L137" s="68">
        <f t="shared" si="131"/>
        <v>41</v>
      </c>
    </row>
    <row r="138" spans="2:12" ht="15.75" x14ac:dyDescent="0.3">
      <c r="B138" s="14" t="s">
        <v>66</v>
      </c>
      <c r="C138" s="18">
        <v>304</v>
      </c>
      <c r="D138" s="18">
        <v>307</v>
      </c>
      <c r="E138" s="18">
        <v>119</v>
      </c>
      <c r="F138" s="18">
        <v>202</v>
      </c>
      <c r="G138" s="33">
        <v>324</v>
      </c>
      <c r="H138" s="68">
        <f>AVERAGE(E138:G138)</f>
        <v>215</v>
      </c>
      <c r="I138" s="68">
        <f t="shared" ref="I138:L138" si="132">AVERAGE(F138:H138)</f>
        <v>247</v>
      </c>
      <c r="J138" s="68">
        <f t="shared" si="132"/>
        <v>262</v>
      </c>
      <c r="K138" s="68">
        <f t="shared" si="132"/>
        <v>241.33333333333334</v>
      </c>
      <c r="L138" s="68">
        <f t="shared" si="132"/>
        <v>250.11111111111111</v>
      </c>
    </row>
    <row r="139" spans="2:12" ht="15.75" x14ac:dyDescent="0.3">
      <c r="B139" s="30" t="s">
        <v>55</v>
      </c>
      <c r="C139" s="25">
        <f>SUM(C117:C138)</f>
        <v>-4629</v>
      </c>
      <c r="D139" s="25">
        <f>SUM(D117:D138)</f>
        <v>1982</v>
      </c>
      <c r="E139" s="25">
        <f>SUM(E117:E138)</f>
        <v>7000</v>
      </c>
      <c r="F139" s="25">
        <f>SUM(F117:F138)</f>
        <v>-21068</v>
      </c>
      <c r="G139" s="26">
        <f>SUM(G117:G138)</f>
        <v>-2398</v>
      </c>
      <c r="H139" s="25">
        <f t="shared" ref="H139:L139" si="133">SUM(H117:H138)</f>
        <v>15472.469107758165</v>
      </c>
      <c r="I139" s="25">
        <f t="shared" si="133"/>
        <v>-6891.2414671904389</v>
      </c>
      <c r="J139" s="25">
        <f t="shared" si="133"/>
        <v>-7724.3886572948895</v>
      </c>
      <c r="K139" s="25">
        <f t="shared" si="133"/>
        <v>-8567.5423868652088</v>
      </c>
      <c r="L139" s="25">
        <f t="shared" si="133"/>
        <v>-9236.4249529164481</v>
      </c>
    </row>
    <row r="140" spans="2:12" ht="15.75" x14ac:dyDescent="0.3">
      <c r="B140" s="14" t="s">
        <v>112</v>
      </c>
      <c r="C140" s="18">
        <v>-980</v>
      </c>
      <c r="D140" s="18">
        <v>-1222</v>
      </c>
      <c r="E140" s="18">
        <v>-1527</v>
      </c>
      <c r="F140" s="18">
        <v>-2230</v>
      </c>
      <c r="G140" s="18">
        <v>-2942</v>
      </c>
      <c r="H140" s="67">
        <f>AVERAGE(C140:G140)</f>
        <v>-1780.2</v>
      </c>
      <c r="I140" s="68">
        <f t="shared" ref="I140:L140" si="134">AVERAGE(D140:H140)</f>
        <v>-1940.2400000000002</v>
      </c>
      <c r="J140" s="68">
        <f t="shared" si="134"/>
        <v>-2083.8879999999999</v>
      </c>
      <c r="K140" s="68">
        <f t="shared" si="134"/>
        <v>-2195.2656000000002</v>
      </c>
      <c r="L140" s="68">
        <f t="shared" si="134"/>
        <v>-2188.3187200000002</v>
      </c>
    </row>
    <row r="141" spans="2:12" ht="15.75" x14ac:dyDescent="0.3">
      <c r="B141" s="14" t="s">
        <v>67</v>
      </c>
      <c r="C141" s="18">
        <v>529</v>
      </c>
      <c r="D141" s="18">
        <v>35</v>
      </c>
      <c r="E141" s="18">
        <v>27</v>
      </c>
      <c r="F141" s="18">
        <v>49</v>
      </c>
      <c r="G141" s="33">
        <v>82</v>
      </c>
      <c r="H141" s="68">
        <f>AVERAGE(C141:G141)</f>
        <v>144.4</v>
      </c>
      <c r="I141" s="68">
        <f t="shared" ref="I141:L141" si="135">AVERAGE(F141:H141)</f>
        <v>91.8</v>
      </c>
      <c r="J141" s="68">
        <f t="shared" si="135"/>
        <v>106.06666666666666</v>
      </c>
      <c r="K141" s="68">
        <f t="shared" si="135"/>
        <v>114.08888888888889</v>
      </c>
      <c r="L141" s="68">
        <f t="shared" si="135"/>
        <v>103.98518518518519</v>
      </c>
    </row>
    <row r="142" spans="2:12" ht="15.75" x14ac:dyDescent="0.3">
      <c r="B142" s="14" t="s">
        <v>70</v>
      </c>
      <c r="C142" s="18">
        <v>-6</v>
      </c>
      <c r="D142" s="18">
        <v>0</v>
      </c>
      <c r="E142" s="18">
        <v>-70</v>
      </c>
      <c r="F142" s="18">
        <v>-50</v>
      </c>
      <c r="G142" s="33">
        <v>-1248</v>
      </c>
      <c r="H142" s="68">
        <v>0</v>
      </c>
      <c r="I142" s="68">
        <v>0</v>
      </c>
      <c r="J142" s="68">
        <v>0</v>
      </c>
      <c r="K142" s="68">
        <v>0</v>
      </c>
      <c r="L142" s="68">
        <v>0</v>
      </c>
    </row>
    <row r="143" spans="2:12" ht="15.75" x14ac:dyDescent="0.3">
      <c r="B143" s="14" t="s">
        <v>69</v>
      </c>
      <c r="C143" s="18">
        <v>0</v>
      </c>
      <c r="D143" s="18">
        <v>0</v>
      </c>
      <c r="E143" s="18">
        <v>0</v>
      </c>
      <c r="F143" s="18">
        <v>124</v>
      </c>
      <c r="G143" s="33">
        <v>10585</v>
      </c>
      <c r="H143" s="68">
        <v>0</v>
      </c>
      <c r="I143" s="68">
        <v>0</v>
      </c>
      <c r="J143" s="68">
        <v>0</v>
      </c>
      <c r="K143" s="68">
        <v>0</v>
      </c>
      <c r="L143" s="68">
        <v>0</v>
      </c>
    </row>
    <row r="144" spans="2:12" ht="15.75" x14ac:dyDescent="0.3">
      <c r="B144" s="14" t="s">
        <v>68</v>
      </c>
      <c r="C144" s="18">
        <v>-35713</v>
      </c>
      <c r="D144" s="18">
        <v>-5051</v>
      </c>
      <c r="E144" s="18">
        <v>-16448</v>
      </c>
      <c r="F144" s="18">
        <v>-13856</v>
      </c>
      <c r="G144" s="33">
        <v>-51938</v>
      </c>
      <c r="H144" s="68">
        <f>AVERAGE(C144:G144)</f>
        <v>-24601.200000000001</v>
      </c>
      <c r="I144" s="68">
        <f t="shared" ref="I144:L144" si="136">AVERAGE(D144:H144)</f>
        <v>-22378.84</v>
      </c>
      <c r="J144" s="68">
        <f t="shared" si="136"/>
        <v>-25844.407999999999</v>
      </c>
      <c r="K144" s="68">
        <f t="shared" si="136"/>
        <v>-27723.689600000002</v>
      </c>
      <c r="L144" s="68">
        <f t="shared" si="136"/>
        <v>-30497.227519999997</v>
      </c>
    </row>
    <row r="145" spans="2:12" ht="15.75" x14ac:dyDescent="0.3">
      <c r="B145" s="14" t="s">
        <v>71</v>
      </c>
      <c r="C145" s="18">
        <v>45489</v>
      </c>
      <c r="D145" s="18">
        <v>10619</v>
      </c>
      <c r="E145" s="18">
        <v>15739</v>
      </c>
      <c r="F145" s="18">
        <v>4743</v>
      </c>
      <c r="G145" s="33">
        <v>46628</v>
      </c>
      <c r="H145" s="68">
        <f>AVERAGE(C145:G145)</f>
        <v>24643.599999999999</v>
      </c>
      <c r="I145" s="68">
        <f t="shared" ref="I145:L145" si="137">AVERAGE(D145:H145)</f>
        <v>20474.52</v>
      </c>
      <c r="J145" s="68">
        <f t="shared" si="137"/>
        <v>22445.624000000003</v>
      </c>
      <c r="K145" s="68">
        <f t="shared" si="137"/>
        <v>23786.948800000002</v>
      </c>
      <c r="L145" s="68">
        <f t="shared" si="137"/>
        <v>27595.738560000005</v>
      </c>
    </row>
    <row r="146" spans="2:12" ht="15.75" x14ac:dyDescent="0.3">
      <c r="B146" s="14" t="s">
        <v>72</v>
      </c>
      <c r="C146" s="18">
        <v>0</v>
      </c>
      <c r="D146" s="18">
        <v>0</v>
      </c>
      <c r="E146" s="18">
        <f>-162</f>
        <v>-162</v>
      </c>
      <c r="F146" s="18">
        <v>-694</v>
      </c>
      <c r="G146" s="33">
        <v>-662</v>
      </c>
      <c r="H146" s="68">
        <f>AVERAGE(E146:G146)</f>
        <v>-506</v>
      </c>
      <c r="I146" s="68">
        <f t="shared" ref="I146:L146" si="138">AVERAGE(F146:H146)</f>
        <v>-620.66666666666663</v>
      </c>
      <c r="J146" s="68">
        <f t="shared" si="138"/>
        <v>-596.22222222222217</v>
      </c>
      <c r="K146" s="68">
        <f t="shared" si="138"/>
        <v>-574.29629629629619</v>
      </c>
      <c r="L146" s="68">
        <f t="shared" si="138"/>
        <v>-597.06172839506155</v>
      </c>
    </row>
    <row r="147" spans="2:12" ht="15.75" x14ac:dyDescent="0.3">
      <c r="B147" s="14" t="s">
        <v>73</v>
      </c>
      <c r="C147" s="18">
        <v>0</v>
      </c>
      <c r="D147" s="18">
        <v>0</v>
      </c>
      <c r="E147" s="18"/>
      <c r="F147" s="18">
        <v>40</v>
      </c>
      <c r="G147" s="33">
        <v>2</v>
      </c>
      <c r="H147" s="68">
        <v>0</v>
      </c>
      <c r="I147" s="68">
        <v>0</v>
      </c>
      <c r="J147" s="68">
        <v>0</v>
      </c>
      <c r="K147" s="68">
        <v>0</v>
      </c>
      <c r="L147" s="68">
        <v>0</v>
      </c>
    </row>
    <row r="148" spans="2:12" ht="15.75" x14ac:dyDescent="0.3">
      <c r="B148" s="16" t="s">
        <v>74</v>
      </c>
      <c r="C148" s="18">
        <v>0</v>
      </c>
      <c r="D148" s="18">
        <v>0</v>
      </c>
      <c r="E148" s="18"/>
      <c r="F148" s="18">
        <v>-88</v>
      </c>
      <c r="G148" s="33">
        <v>-9</v>
      </c>
      <c r="H148" s="68">
        <v>0</v>
      </c>
      <c r="I148" s="68">
        <v>0</v>
      </c>
      <c r="J148" s="68">
        <v>0</v>
      </c>
      <c r="K148" s="68">
        <v>0</v>
      </c>
      <c r="L148" s="68">
        <v>0</v>
      </c>
    </row>
    <row r="149" spans="2:12" ht="15.75" x14ac:dyDescent="0.3">
      <c r="B149" s="16" t="s">
        <v>75</v>
      </c>
      <c r="C149" s="18">
        <v>5</v>
      </c>
      <c r="D149" s="18">
        <v>-11</v>
      </c>
      <c r="E149" s="18">
        <v>4</v>
      </c>
      <c r="F149" s="18">
        <v>-11</v>
      </c>
      <c r="G149" s="35">
        <v>1</v>
      </c>
      <c r="H149" s="68">
        <f>AVERAGE(C149:G149)</f>
        <v>-2.4</v>
      </c>
      <c r="I149" s="68">
        <f t="shared" ref="I149:L149" si="139">AVERAGE(D149:H149)</f>
        <v>-3.88</v>
      </c>
      <c r="J149" s="68">
        <f t="shared" si="139"/>
        <v>-2.4560000000000004</v>
      </c>
      <c r="K149" s="68">
        <f t="shared" si="139"/>
        <v>-3.7472000000000003</v>
      </c>
      <c r="L149" s="68">
        <f t="shared" si="139"/>
        <v>-2.29664</v>
      </c>
    </row>
    <row r="150" spans="2:12" ht="15.75" x14ac:dyDescent="0.3">
      <c r="B150" s="30" t="s">
        <v>57</v>
      </c>
      <c r="C150" s="25">
        <f>SUM(C140:C149)</f>
        <v>9324</v>
      </c>
      <c r="D150" s="25">
        <f t="shared" ref="D150:L150" si="140">SUM(D140:D149)</f>
        <v>4370</v>
      </c>
      <c r="E150" s="25">
        <f t="shared" si="140"/>
        <v>-2437</v>
      </c>
      <c r="F150" s="25">
        <f t="shared" si="140"/>
        <v>-11973</v>
      </c>
      <c r="G150" s="26">
        <f t="shared" si="140"/>
        <v>499</v>
      </c>
      <c r="H150" s="25">
        <f>SUM(H140:H149)</f>
        <v>-2101.8000000000015</v>
      </c>
      <c r="I150" s="25">
        <f t="shared" si="140"/>
        <v>-4377.3066666666655</v>
      </c>
      <c r="J150" s="25">
        <f t="shared" si="140"/>
        <v>-5975.2835555555521</v>
      </c>
      <c r="K150" s="25">
        <f t="shared" si="140"/>
        <v>-6595.9610074074071</v>
      </c>
      <c r="L150" s="25">
        <f t="shared" si="140"/>
        <v>-5585.1808632098664</v>
      </c>
    </row>
    <row r="151" spans="2:12" ht="15.75" x14ac:dyDescent="0.3">
      <c r="B151" s="14" t="s">
        <v>76</v>
      </c>
      <c r="C151" s="18">
        <v>9795</v>
      </c>
      <c r="D151" s="18">
        <v>34</v>
      </c>
      <c r="E151" s="18">
        <v>75</v>
      </c>
      <c r="F151" s="18">
        <v>10161</v>
      </c>
      <c r="G151" s="33">
        <v>165</v>
      </c>
      <c r="H151" s="68">
        <f>G151</f>
        <v>165</v>
      </c>
      <c r="I151" s="68">
        <f t="shared" ref="I151:L151" si="141">H151</f>
        <v>165</v>
      </c>
      <c r="J151" s="68">
        <f t="shared" si="141"/>
        <v>165</v>
      </c>
      <c r="K151" s="68">
        <f t="shared" si="141"/>
        <v>165</v>
      </c>
      <c r="L151" s="68">
        <f t="shared" si="141"/>
        <v>165</v>
      </c>
    </row>
    <row r="152" spans="2:12" ht="15.75" x14ac:dyDescent="0.3">
      <c r="B152" s="14" t="s">
        <v>77</v>
      </c>
      <c r="C152" s="18">
        <v>-15371</v>
      </c>
      <c r="D152" s="18">
        <v>-1310</v>
      </c>
      <c r="E152" s="18">
        <v>-5216</v>
      </c>
      <c r="F152" s="18">
        <v>-8673</v>
      </c>
      <c r="G152" s="33">
        <v>-3621</v>
      </c>
      <c r="H152" s="68">
        <f>G152</f>
        <v>-3621</v>
      </c>
      <c r="I152" s="68">
        <f t="shared" ref="I152:L152" si="142">H152</f>
        <v>-3621</v>
      </c>
      <c r="J152" s="68">
        <f t="shared" si="142"/>
        <v>-3621</v>
      </c>
      <c r="K152" s="68">
        <f t="shared" si="142"/>
        <v>-3621</v>
      </c>
      <c r="L152" s="68">
        <f t="shared" si="142"/>
        <v>-3621</v>
      </c>
    </row>
    <row r="153" spans="2:12" ht="15.75" x14ac:dyDescent="0.3">
      <c r="B153" s="14" t="s">
        <v>84</v>
      </c>
      <c r="C153" s="18">
        <v>0</v>
      </c>
      <c r="D153" s="18">
        <v>0</v>
      </c>
      <c r="E153" s="18">
        <v>0</v>
      </c>
      <c r="F153" s="18">
        <v>18200</v>
      </c>
      <c r="G153" s="33">
        <v>0</v>
      </c>
      <c r="H153" s="68">
        <v>0</v>
      </c>
      <c r="I153" s="68">
        <v>0</v>
      </c>
      <c r="J153" s="68">
        <v>0</v>
      </c>
      <c r="K153" s="68">
        <v>0</v>
      </c>
      <c r="L153" s="68">
        <v>0</v>
      </c>
    </row>
    <row r="154" spans="2:12" ht="15.75" x14ac:dyDescent="0.3">
      <c r="B154" s="14" t="s">
        <v>78</v>
      </c>
      <c r="C154" s="18">
        <v>0</v>
      </c>
      <c r="D154" s="18">
        <v>0</v>
      </c>
      <c r="E154" s="18">
        <v>0</v>
      </c>
      <c r="F154" s="18">
        <v>5657</v>
      </c>
      <c r="G154" s="33">
        <v>0</v>
      </c>
      <c r="H154" s="68">
        <v>0</v>
      </c>
      <c r="I154" s="68">
        <v>0</v>
      </c>
      <c r="J154" s="68">
        <v>0</v>
      </c>
      <c r="K154" s="68">
        <v>0</v>
      </c>
      <c r="L154" s="68">
        <v>0</v>
      </c>
    </row>
    <row r="155" spans="2:12" ht="15.75" x14ac:dyDescent="0.3">
      <c r="B155" s="16" t="s">
        <v>79</v>
      </c>
      <c r="C155" s="18">
        <v>42</v>
      </c>
      <c r="D155" s="18">
        <v>50</v>
      </c>
      <c r="E155" s="18">
        <v>45</v>
      </c>
      <c r="F155" s="18">
        <v>0</v>
      </c>
      <c r="G155" s="33">
        <v>0</v>
      </c>
      <c r="H155" s="68">
        <f>G155</f>
        <v>0</v>
      </c>
      <c r="I155" s="68">
        <f t="shared" ref="I155:L155" si="143">H155</f>
        <v>0</v>
      </c>
      <c r="J155" s="68">
        <f t="shared" si="143"/>
        <v>0</v>
      </c>
      <c r="K155" s="68">
        <f t="shared" si="143"/>
        <v>0</v>
      </c>
      <c r="L155" s="68">
        <f t="shared" si="143"/>
        <v>0</v>
      </c>
    </row>
    <row r="156" spans="2:12" ht="15.75" x14ac:dyDescent="0.3">
      <c r="B156" s="16" t="s">
        <v>80</v>
      </c>
      <c r="C156" s="18">
        <v>-66</v>
      </c>
      <c r="D156" s="18">
        <v>-40</v>
      </c>
      <c r="E156" s="18">
        <v>-408</v>
      </c>
      <c r="F156" s="18">
        <v>-83</v>
      </c>
      <c r="G156" s="33">
        <v>-34</v>
      </c>
      <c r="H156" s="68">
        <f>AVERAGE(C156:G156)</f>
        <v>-126.2</v>
      </c>
      <c r="I156" s="68">
        <f t="shared" ref="I156:L156" si="144">AVERAGE(D156:H156)</f>
        <v>-138.24</v>
      </c>
      <c r="J156" s="68">
        <f t="shared" si="144"/>
        <v>-157.88800000000001</v>
      </c>
      <c r="K156" s="68">
        <f t="shared" si="144"/>
        <v>-107.8656</v>
      </c>
      <c r="L156" s="68">
        <f t="shared" si="144"/>
        <v>-112.83872</v>
      </c>
    </row>
    <row r="157" spans="2:12" ht="15.75" x14ac:dyDescent="0.3">
      <c r="B157" s="16" t="s">
        <v>81</v>
      </c>
      <c r="C157" s="18">
        <v>0</v>
      </c>
      <c r="D157" s="18">
        <v>0</v>
      </c>
      <c r="E157" s="18">
        <v>0</v>
      </c>
      <c r="F157" s="18">
        <v>0</v>
      </c>
      <c r="G157" s="33">
        <v>-331</v>
      </c>
      <c r="H157" s="68">
        <f>G157</f>
        <v>-331</v>
      </c>
      <c r="I157" s="68">
        <f t="shared" ref="I157:L158" si="145">H157</f>
        <v>-331</v>
      </c>
      <c r="J157" s="68">
        <f t="shared" si="145"/>
        <v>-331</v>
      </c>
      <c r="K157" s="68">
        <f t="shared" si="145"/>
        <v>-331</v>
      </c>
      <c r="L157" s="68">
        <f t="shared" si="145"/>
        <v>-331</v>
      </c>
    </row>
    <row r="158" spans="2:12" ht="15.75" x14ac:dyDescent="0.3">
      <c r="B158" s="16" t="s">
        <v>75</v>
      </c>
      <c r="C158" s="18">
        <v>0</v>
      </c>
      <c r="D158" s="18">
        <v>0</v>
      </c>
      <c r="E158" s="18">
        <v>17</v>
      </c>
      <c r="F158" s="18">
        <v>-53</v>
      </c>
      <c r="G158" s="33">
        <v>58</v>
      </c>
      <c r="H158" s="107">
        <f>G158</f>
        <v>58</v>
      </c>
      <c r="I158" s="68">
        <f t="shared" si="145"/>
        <v>58</v>
      </c>
      <c r="J158" s="68">
        <f t="shared" si="145"/>
        <v>58</v>
      </c>
      <c r="K158" s="68">
        <f t="shared" si="145"/>
        <v>58</v>
      </c>
      <c r="L158" s="68">
        <f t="shared" si="145"/>
        <v>58</v>
      </c>
    </row>
    <row r="159" spans="2:12" ht="15.75" x14ac:dyDescent="0.3">
      <c r="B159" s="36" t="s">
        <v>58</v>
      </c>
      <c r="C159" s="25">
        <f t="shared" ref="C159:E159" si="146">SUM(C151:C158)</f>
        <v>-5600</v>
      </c>
      <c r="D159" s="25">
        <f t="shared" si="146"/>
        <v>-1266</v>
      </c>
      <c r="E159" s="25">
        <f t="shared" si="146"/>
        <v>-5487</v>
      </c>
      <c r="F159" s="25">
        <f>SUM(F151:F158)</f>
        <v>25209</v>
      </c>
      <c r="G159" s="26">
        <f>SUM(G151:G158)</f>
        <v>-3763</v>
      </c>
      <c r="H159" s="25">
        <f t="shared" ref="H159:L159" si="147">SUM(H151:H158)</f>
        <v>-3855.2</v>
      </c>
      <c r="I159" s="25">
        <f t="shared" si="147"/>
        <v>-3867.24</v>
      </c>
      <c r="J159" s="25">
        <f t="shared" si="147"/>
        <v>-3886.8879999999999</v>
      </c>
      <c r="K159" s="25">
        <f t="shared" si="147"/>
        <v>-3836.8656000000001</v>
      </c>
      <c r="L159" s="25">
        <f t="shared" si="147"/>
        <v>-3841.8387200000002</v>
      </c>
    </row>
    <row r="160" spans="2:12" ht="15.75" x14ac:dyDescent="0.3">
      <c r="B160" s="16" t="s">
        <v>85</v>
      </c>
      <c r="C160" s="18">
        <v>-39</v>
      </c>
      <c r="D160" s="18">
        <v>-73</v>
      </c>
      <c r="E160" s="18">
        <v>30</v>
      </c>
      <c r="F160" s="18">
        <v>-47</v>
      </c>
      <c r="G160" s="34">
        <v>40</v>
      </c>
      <c r="H160" s="110">
        <f>AVERAGE(C160:G160)</f>
        <v>-17.8</v>
      </c>
      <c r="I160" s="70">
        <f t="shared" ref="I160:L160" si="148">AVERAGE(D160:H160)</f>
        <v>-13.559999999999999</v>
      </c>
      <c r="J160" s="70">
        <f t="shared" si="148"/>
        <v>-1.6719999999999999</v>
      </c>
      <c r="K160" s="70">
        <f t="shared" si="148"/>
        <v>-8.0063999999999993</v>
      </c>
      <c r="L160" s="70">
        <f t="shared" si="148"/>
        <v>-0.2076799999999997</v>
      </c>
    </row>
    <row r="161" spans="2:12" ht="16.5" thickBot="1" x14ac:dyDescent="0.35">
      <c r="B161" s="28" t="s">
        <v>59</v>
      </c>
      <c r="C161" s="13">
        <f>SUM(C159,C150,C139,C160)</f>
        <v>-944</v>
      </c>
      <c r="D161" s="13">
        <f>SUM(D159,D150,D139,D160)</f>
        <v>5013</v>
      </c>
      <c r="E161" s="13">
        <f>SUM(E159,E150,E139,E160)</f>
        <v>-894</v>
      </c>
      <c r="F161" s="13">
        <f>SUM(F159,F150,F139,F160)</f>
        <v>-7879</v>
      </c>
      <c r="G161" s="21">
        <f>SUM(G159,G150,G139,G160)</f>
        <v>-5622</v>
      </c>
      <c r="H161" s="13">
        <f t="shared" ref="H161:L161" si="149">SUM(H159,H150,H139,H160)</f>
        <v>9497.6691077581636</v>
      </c>
      <c r="I161" s="13">
        <f t="shared" si="149"/>
        <v>-15149.348133857104</v>
      </c>
      <c r="J161" s="13">
        <f t="shared" si="149"/>
        <v>-17588.232212850442</v>
      </c>
      <c r="K161" s="13">
        <f t="shared" si="149"/>
        <v>-19008.375394272614</v>
      </c>
      <c r="L161" s="13">
        <f t="shared" si="149"/>
        <v>-18663.652216126313</v>
      </c>
    </row>
    <row r="162" spans="2:12" ht="16.5" thickTop="1" x14ac:dyDescent="0.3">
      <c r="B162" s="16" t="s">
        <v>87</v>
      </c>
      <c r="C162" s="18">
        <v>7835</v>
      </c>
      <c r="D162" s="18">
        <v>8104</v>
      </c>
      <c r="E162" s="18">
        <v>14647</v>
      </c>
      <c r="F162" s="18">
        <v>12713</v>
      </c>
      <c r="G162" s="33">
        <v>13822</v>
      </c>
      <c r="H162" s="68">
        <f>G163</f>
        <v>11663</v>
      </c>
      <c r="I162" s="68">
        <f t="shared" ref="I162:L162" si="150">H163</f>
        <v>21160.669107758164</v>
      </c>
      <c r="J162" s="68">
        <f t="shared" si="150"/>
        <v>6011.3209739010599</v>
      </c>
      <c r="K162" s="68">
        <f t="shared" si="150"/>
        <v>-11576.911238949382</v>
      </c>
      <c r="L162" s="68">
        <f t="shared" si="150"/>
        <v>-30585.286633221996</v>
      </c>
    </row>
    <row r="163" spans="2:12" ht="15.75" x14ac:dyDescent="0.3">
      <c r="B163" s="16" t="s">
        <v>86</v>
      </c>
      <c r="C163" s="18">
        <v>8104</v>
      </c>
      <c r="D163" s="18">
        <v>14647</v>
      </c>
      <c r="E163" s="18">
        <v>12713</v>
      </c>
      <c r="F163" s="18">
        <v>13822</v>
      </c>
      <c r="G163" s="33">
        <v>11663</v>
      </c>
      <c r="H163" s="68">
        <f>H162+H161</f>
        <v>21160.669107758164</v>
      </c>
      <c r="I163" s="68">
        <f t="shared" ref="I163:L163" si="151">I162+I161</f>
        <v>6011.3209739010599</v>
      </c>
      <c r="J163" s="68">
        <f t="shared" si="151"/>
        <v>-11576.911238949382</v>
      </c>
      <c r="K163" s="68">
        <f t="shared" si="151"/>
        <v>-30585.286633221996</v>
      </c>
      <c r="L163" s="68">
        <f t="shared" si="151"/>
        <v>-49248.938849348313</v>
      </c>
    </row>
    <row r="164" spans="2:12" ht="15.75" x14ac:dyDescent="0.3">
      <c r="B164" s="16" t="s">
        <v>88</v>
      </c>
      <c r="C164" s="18">
        <v>52</v>
      </c>
      <c r="D164" s="18">
        <v>33</v>
      </c>
      <c r="E164" s="18">
        <v>22</v>
      </c>
      <c r="F164" s="18">
        <v>21</v>
      </c>
      <c r="G164" s="33">
        <v>742</v>
      </c>
      <c r="H164" s="107">
        <f>AVERAGE(C164:G164)</f>
        <v>174</v>
      </c>
      <c r="I164" s="68">
        <f t="shared" ref="I164:L164" si="152">AVERAGE(D164:H164)</f>
        <v>198.4</v>
      </c>
      <c r="J164" s="68">
        <f t="shared" si="152"/>
        <v>231.48000000000002</v>
      </c>
      <c r="K164" s="68">
        <f t="shared" si="152"/>
        <v>273.37600000000003</v>
      </c>
      <c r="L164" s="68">
        <f t="shared" si="152"/>
        <v>323.85120000000001</v>
      </c>
    </row>
    <row r="165" spans="2:12" ht="16.5" thickBot="1" x14ac:dyDescent="0.35">
      <c r="B165" s="28" t="s">
        <v>89</v>
      </c>
      <c r="C165" s="37">
        <f>SUM(C163-C164)</f>
        <v>8052</v>
      </c>
      <c r="D165" s="37">
        <f>SUM(D163-D164)</f>
        <v>14614</v>
      </c>
      <c r="E165" s="37">
        <f>SUM(E163-E164)</f>
        <v>12691</v>
      </c>
      <c r="F165" s="37">
        <f>SUM(F163-F164)</f>
        <v>13801</v>
      </c>
      <c r="G165" s="38">
        <f>SUM(G163-G164)</f>
        <v>10921</v>
      </c>
      <c r="H165" s="37">
        <f t="shared" ref="H165:L165" si="153">SUM(H163-H164)</f>
        <v>20986.669107758164</v>
      </c>
      <c r="I165" s="37">
        <f t="shared" si="153"/>
        <v>5812.9209739010603</v>
      </c>
      <c r="J165" s="37">
        <f t="shared" si="153"/>
        <v>-11808.391238949382</v>
      </c>
      <c r="K165" s="37">
        <f t="shared" si="153"/>
        <v>-30858.662633221997</v>
      </c>
      <c r="L165" s="37">
        <f t="shared" si="153"/>
        <v>-49572.79004934831</v>
      </c>
    </row>
    <row r="166" spans="2:12" ht="16.5" thickTop="1" x14ac:dyDescent="0.3">
      <c r="B166" s="16" t="s">
        <v>113</v>
      </c>
      <c r="C166" s="39" t="str">
        <f>IF(C165=C77, "✓", "✗")</f>
        <v>✓</v>
      </c>
      <c r="D166" s="39" t="str">
        <f t="shared" ref="D166:L166" si="154">IF(D165=D77, "✓", "✗")</f>
        <v>✓</v>
      </c>
      <c r="E166" s="39" t="str">
        <f t="shared" si="154"/>
        <v>✓</v>
      </c>
      <c r="F166" s="39" t="str">
        <f t="shared" si="154"/>
        <v>✓</v>
      </c>
      <c r="G166" s="39" t="str">
        <f t="shared" si="154"/>
        <v>✓</v>
      </c>
      <c r="H166" s="39" t="str">
        <f>IF(H165=H77, "✓", "✗")</f>
        <v>✓</v>
      </c>
      <c r="I166" s="39" t="str">
        <f t="shared" si="154"/>
        <v>✓</v>
      </c>
      <c r="J166" s="39" t="str">
        <f t="shared" si="154"/>
        <v>✓</v>
      </c>
      <c r="K166" s="39" t="str">
        <f t="shared" si="154"/>
        <v>✓</v>
      </c>
      <c r="L166" s="39" t="str">
        <f t="shared" si="154"/>
        <v>✓</v>
      </c>
    </row>
  </sheetData>
  <dataValidations count="1">
    <dataValidation type="list" allowBlank="1" showInputMessage="1" showErrorMessage="1" sqref="E7" xr:uid="{69D01857-133C-4E14-B17C-7B15EBB50075}">
      <formula1>"Grey Sky, Base Case, Blue Sky"</formula1>
    </dataValidation>
  </dataValidations>
  <pageMargins left="0.7" right="0.7" top="0.75" bottom="0.75" header="0.3" footer="0.3"/>
  <pageSetup orientation="portrait" horizontalDpi="1200" verticalDpi="1200" r:id="rId1"/>
  <ignoredErrors>
    <ignoredError sqref="C84 C139 H67 H62 H60 H73 H71 H125 H136:L136 H138:L138" formulaRange="1"/>
    <ignoredError sqref="H72 I72:L72 C12 H40:L40 H88:L88 H156:L156" formula="1"/>
    <ignoredError sqref="H137 I137:L137" formula="1" formulaRange="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C32BD-AC33-47AC-B3F3-40794C6525BE}">
  <dimension ref="B4:M25"/>
  <sheetViews>
    <sheetView showGridLines="0" workbookViewId="0">
      <selection activeCell="E29" sqref="E29"/>
    </sheetView>
  </sheetViews>
  <sheetFormatPr defaultRowHeight="15" x14ac:dyDescent="0.25"/>
  <cols>
    <col min="2" max="2" width="34.85546875" customWidth="1"/>
    <col min="3" max="3" width="20.7109375" customWidth="1"/>
    <col min="4" max="8" width="12.7109375" customWidth="1"/>
    <col min="9" max="9" width="2.85546875" customWidth="1"/>
    <col min="10" max="10" width="28.5703125" bestFit="1" customWidth="1"/>
    <col min="11" max="11" width="12.7109375" customWidth="1"/>
    <col min="12" max="13" width="15.7109375" customWidth="1"/>
  </cols>
  <sheetData>
    <row r="4" spans="2:13" ht="15.75" x14ac:dyDescent="0.3">
      <c r="B4" s="128" t="s">
        <v>136</v>
      </c>
      <c r="C4" s="117"/>
      <c r="D4" s="111">
        <v>2026</v>
      </c>
      <c r="E4" s="111">
        <f t="shared" ref="E4:H4" si="0">+D4+1</f>
        <v>2027</v>
      </c>
      <c r="F4" s="111">
        <f t="shared" si="0"/>
        <v>2028</v>
      </c>
      <c r="G4" s="111">
        <f t="shared" si="0"/>
        <v>2029</v>
      </c>
      <c r="H4" s="134">
        <f t="shared" si="0"/>
        <v>2030</v>
      </c>
      <c r="J4" s="117" t="s">
        <v>136</v>
      </c>
      <c r="K4" s="117"/>
    </row>
    <row r="5" spans="2:13" x14ac:dyDescent="0.25">
      <c r="B5" s="129"/>
      <c r="C5" s="130"/>
      <c r="D5" s="130"/>
      <c r="E5" s="130"/>
      <c r="F5" s="130"/>
      <c r="G5" s="130"/>
      <c r="H5" s="135"/>
      <c r="J5" s="143"/>
      <c r="K5" s="145"/>
    </row>
    <row r="6" spans="2:13" ht="15.75" x14ac:dyDescent="0.3">
      <c r="B6" s="131" t="s">
        <v>162</v>
      </c>
      <c r="C6" s="130"/>
      <c r="D6" s="130"/>
      <c r="E6" s="130"/>
      <c r="F6" s="130"/>
      <c r="G6" s="130"/>
      <c r="H6" s="135"/>
      <c r="I6" s="43"/>
      <c r="J6" s="133" t="s">
        <v>174</v>
      </c>
      <c r="K6" s="158">
        <v>0.09</v>
      </c>
      <c r="L6" s="43"/>
      <c r="M6" s="43"/>
    </row>
    <row r="7" spans="2:13" ht="15.75" x14ac:dyDescent="0.3">
      <c r="B7" s="132" t="str">
        <f>'3 Statement'!E7</f>
        <v>Base Case</v>
      </c>
      <c r="C7" s="130"/>
      <c r="D7" s="130"/>
      <c r="E7" s="130"/>
      <c r="F7" s="130"/>
      <c r="G7" s="130"/>
      <c r="H7" s="135"/>
      <c r="I7" s="43"/>
      <c r="J7" s="153"/>
      <c r="K7" s="155"/>
      <c r="L7" s="43"/>
      <c r="M7" s="43"/>
    </row>
    <row r="8" spans="2:13" ht="15.75" x14ac:dyDescent="0.3">
      <c r="B8" s="133"/>
      <c r="C8" s="8"/>
      <c r="D8" s="9"/>
      <c r="E8" s="9"/>
      <c r="F8" s="9"/>
      <c r="G8" s="9"/>
      <c r="H8" s="136"/>
      <c r="I8" s="43"/>
      <c r="J8" s="163" t="s">
        <v>164</v>
      </c>
      <c r="K8" s="156" t="s">
        <v>173</v>
      </c>
      <c r="L8" s="43"/>
      <c r="M8" s="43"/>
    </row>
    <row r="9" spans="2:13" ht="15.75" x14ac:dyDescent="0.3">
      <c r="B9" s="133" t="s">
        <v>1</v>
      </c>
      <c r="C9" s="14"/>
      <c r="D9" s="71">
        <f>'3 Statement'!H51</f>
        <v>97939.235908870192</v>
      </c>
      <c r="E9" s="71">
        <f>'3 Statement'!I51</f>
        <v>106239.16649108766</v>
      </c>
      <c r="F9" s="71">
        <f>'3 Statement'!J51</f>
        <v>114180.08896076062</v>
      </c>
      <c r="G9" s="71">
        <f>'3 Statement'!K51</f>
        <v>121572.76046927583</v>
      </c>
      <c r="H9" s="138">
        <f>'3 Statement'!L51</f>
        <v>128228.34817632385</v>
      </c>
      <c r="J9" s="163" t="s">
        <v>165</v>
      </c>
      <c r="K9" s="157">
        <v>2.5000000000000001E-2</v>
      </c>
    </row>
    <row r="10" spans="2:13" ht="15.75" x14ac:dyDescent="0.3">
      <c r="B10" s="133" t="s">
        <v>137</v>
      </c>
      <c r="C10" s="8"/>
      <c r="D10" s="71">
        <f>'3 Statement'!H59</f>
        <v>-3534.3856912233687</v>
      </c>
      <c r="E10" s="71">
        <f>'3 Statement'!I59</f>
        <v>-3815.1654443441917</v>
      </c>
      <c r="F10" s="71">
        <f>'3 Statement'!J59</f>
        <v>-4213.5260468799643</v>
      </c>
      <c r="G10" s="71">
        <f>'3 Statement'!K59</f>
        <v>-4413.1356160693576</v>
      </c>
      <c r="H10" s="138">
        <f>'3 Statement'!L59</f>
        <v>-4663.8328024150069</v>
      </c>
      <c r="J10" s="133" t="s">
        <v>166</v>
      </c>
      <c r="K10" s="138">
        <f>H21*((1+K9)/K6-2.5%)</f>
        <v>-167732.83985876903</v>
      </c>
    </row>
    <row r="11" spans="2:13" ht="15.75" x14ac:dyDescent="0.3">
      <c r="B11" s="133" t="s">
        <v>8</v>
      </c>
      <c r="C11" s="130"/>
      <c r="D11" s="71">
        <f>'3 Statement'!H58</f>
        <v>-5929.142792913728</v>
      </c>
      <c r="E11" s="71">
        <f>'3 Statement'!I58</f>
        <v>-6431.6122387549112</v>
      </c>
      <c r="F11" s="71">
        <f>'3 Statement'!J58</f>
        <v>-6912.347694705968</v>
      </c>
      <c r="G11" s="71">
        <f>'3 Statement'!K58</f>
        <v>-7359.89258913292</v>
      </c>
      <c r="H11" s="138">
        <f>'3 Statement'!L58</f>
        <v>-7762.8151718919653</v>
      </c>
      <c r="J11" s="163"/>
      <c r="K11" s="154"/>
    </row>
    <row r="12" spans="2:13" ht="15.75" x14ac:dyDescent="0.3">
      <c r="B12" s="133"/>
      <c r="C12" s="130"/>
      <c r="D12" s="130"/>
      <c r="E12" s="130"/>
      <c r="F12" s="130"/>
      <c r="G12" s="130"/>
      <c r="H12" s="135"/>
      <c r="J12" s="163" t="s">
        <v>167</v>
      </c>
      <c r="K12" s="137">
        <f>K10/(1+K6)^5</f>
        <v>-109014.8371371681</v>
      </c>
    </row>
    <row r="13" spans="2:13" ht="15.75" x14ac:dyDescent="0.3">
      <c r="B13" s="133" t="s">
        <v>138</v>
      </c>
      <c r="C13" s="130"/>
      <c r="D13" s="71">
        <f>IF(D11&lt;0, 0, D11 * '3 Statement'!H33)</f>
        <v>0</v>
      </c>
      <c r="E13" s="71">
        <f>IF(E11&lt;0, 0, E11 * '3 Statement'!I33)</f>
        <v>0</v>
      </c>
      <c r="F13" s="71">
        <f>IF(F11&lt;0, 0, F11 * '3 Statement'!J33)</f>
        <v>0</v>
      </c>
      <c r="G13" s="71">
        <f>IF(G11&lt;0, 0, G11 * '3 Statement'!K33)</f>
        <v>0</v>
      </c>
      <c r="H13" s="138">
        <f>IF(H11&lt;0, 0, H11 * '3 Statement'!L33)</f>
        <v>0</v>
      </c>
      <c r="J13" s="163" t="s">
        <v>168</v>
      </c>
      <c r="K13" s="159">
        <f>SUM(D21:H21)</f>
        <v>-43830.354382973121</v>
      </c>
    </row>
    <row r="14" spans="2:13" ht="15.75" x14ac:dyDescent="0.3">
      <c r="B14" s="133"/>
      <c r="C14" s="130"/>
      <c r="D14" s="71"/>
      <c r="E14" s="71"/>
      <c r="F14" s="71"/>
      <c r="G14" s="71"/>
      <c r="H14" s="138"/>
      <c r="J14" s="133" t="s">
        <v>154</v>
      </c>
      <c r="K14" s="160">
        <f>SUM(K12:K13)</f>
        <v>-152845.1915201412</v>
      </c>
    </row>
    <row r="15" spans="2:13" ht="15.75" x14ac:dyDescent="0.3">
      <c r="B15" s="133" t="s">
        <v>143</v>
      </c>
      <c r="C15" s="130"/>
      <c r="D15" s="71">
        <f>'3 Statement'!H120</f>
        <v>2394.7571016903594</v>
      </c>
      <c r="E15" s="71">
        <f>'3 Statement'!I120</f>
        <v>2616.4467944107196</v>
      </c>
      <c r="F15" s="71">
        <f>'3 Statement'!J120</f>
        <v>2698.8216478260033</v>
      </c>
      <c r="G15" s="71">
        <f>'3 Statement'!K120</f>
        <v>2946.7569730635619</v>
      </c>
      <c r="H15" s="138">
        <f>'3 Statement'!L120</f>
        <v>3098.982369476958</v>
      </c>
      <c r="J15" s="163"/>
      <c r="K15" s="154"/>
    </row>
    <row r="16" spans="2:13" ht="15.75" x14ac:dyDescent="0.3">
      <c r="B16" s="133"/>
      <c r="C16" s="130"/>
      <c r="D16" s="71"/>
      <c r="E16" s="71"/>
      <c r="F16" s="71"/>
      <c r="G16" s="71"/>
      <c r="H16" s="138"/>
      <c r="J16" s="163" t="s">
        <v>169</v>
      </c>
      <c r="K16" s="161">
        <f>K12/K14</f>
        <v>0.71323694290247031</v>
      </c>
    </row>
    <row r="17" spans="2:11" ht="15.75" x14ac:dyDescent="0.3">
      <c r="B17" s="133" t="s">
        <v>139</v>
      </c>
      <c r="C17" s="130"/>
      <c r="D17" s="71">
        <f>'3 Statement'!H139</f>
        <v>15472.469107758165</v>
      </c>
      <c r="E17" s="71">
        <f>'3 Statement'!I139</f>
        <v>-6891.2414671904389</v>
      </c>
      <c r="F17" s="71">
        <f>'3 Statement'!J139</f>
        <v>-7724.3886572948895</v>
      </c>
      <c r="G17" s="71">
        <f>'3 Statement'!K139</f>
        <v>-8567.5423868652088</v>
      </c>
      <c r="H17" s="138">
        <f>'3 Statement'!L139</f>
        <v>-9236.4249529164481</v>
      </c>
      <c r="J17" s="163"/>
      <c r="K17" s="154"/>
    </row>
    <row r="18" spans="2:11" ht="15.75" x14ac:dyDescent="0.3">
      <c r="B18" s="133" t="s">
        <v>140</v>
      </c>
      <c r="C18" s="130"/>
      <c r="D18" s="71">
        <f>'3 Statement'!H140</f>
        <v>-1780.2</v>
      </c>
      <c r="E18" s="71">
        <f>'3 Statement'!I140</f>
        <v>-1940.2400000000002</v>
      </c>
      <c r="F18" s="71">
        <f>'3 Statement'!J140</f>
        <v>-2083.8879999999999</v>
      </c>
      <c r="G18" s="71">
        <f>'3 Statement'!K140</f>
        <v>-2195.2656000000002</v>
      </c>
      <c r="H18" s="138">
        <f>'3 Statement'!L140</f>
        <v>-2188.3187200000002</v>
      </c>
      <c r="J18" s="163" t="s">
        <v>154</v>
      </c>
      <c r="K18" s="159">
        <f>K14</f>
        <v>-152845.1915201412</v>
      </c>
    </row>
    <row r="19" spans="2:11" ht="15.75" x14ac:dyDescent="0.3">
      <c r="B19" s="133"/>
      <c r="C19" s="130"/>
      <c r="D19" s="71"/>
      <c r="E19" s="71"/>
      <c r="F19" s="71"/>
      <c r="G19" s="71"/>
      <c r="H19" s="138"/>
      <c r="J19" s="163" t="s">
        <v>170</v>
      </c>
      <c r="K19" s="137">
        <f>'3 Statement'!G96+'3 Statement'!G102+'3 Statement'!G77-'3 Statement'!G111-'3 Statement'!G99-'3 Statement'!G100</f>
        <v>58638</v>
      </c>
    </row>
    <row r="20" spans="2:11" ht="15.75" x14ac:dyDescent="0.3">
      <c r="B20" s="133" t="s">
        <v>141</v>
      </c>
      <c r="C20" s="130"/>
      <c r="D20" s="71">
        <f>D11+D13+D15+D17+D18</f>
        <v>10157.883416534794</v>
      </c>
      <c r="E20" s="71">
        <f t="shared" ref="E20:H20" si="1">SUM(E11:E18)</f>
        <v>-12646.64691153463</v>
      </c>
      <c r="F20" s="71">
        <f t="shared" si="1"/>
        <v>-14021.802704174854</v>
      </c>
      <c r="G20" s="71">
        <f t="shared" si="1"/>
        <v>-15175.943602934567</v>
      </c>
      <c r="H20" s="138">
        <f t="shared" si="1"/>
        <v>-16088.576475331454</v>
      </c>
      <c r="J20" s="133" t="s">
        <v>171</v>
      </c>
      <c r="K20" s="160">
        <f>K18+K19</f>
        <v>-94207.191520141205</v>
      </c>
    </row>
    <row r="21" spans="2:11" ht="15.75" x14ac:dyDescent="0.3">
      <c r="B21" s="133" t="s">
        <v>142</v>
      </c>
      <c r="C21" s="130"/>
      <c r="D21" s="71">
        <f>D20/(1+$K$6)</f>
        <v>9319.1590977383421</v>
      </c>
      <c r="E21" s="71">
        <f t="shared" ref="E21:H21" si="2">E20/(1+$K$6)</f>
        <v>-11602.428359206082</v>
      </c>
      <c r="F21" s="71">
        <f t="shared" si="2"/>
        <v>-12864.039178142066</v>
      </c>
      <c r="G21" s="71">
        <f t="shared" si="2"/>
        <v>-13922.88403938951</v>
      </c>
      <c r="H21" s="138">
        <f t="shared" si="2"/>
        <v>-14760.161903973811</v>
      </c>
      <c r="J21" s="163"/>
      <c r="K21" s="154"/>
    </row>
    <row r="22" spans="2:11" ht="15.75" x14ac:dyDescent="0.3">
      <c r="B22" s="129"/>
      <c r="C22" s="130"/>
      <c r="D22" s="130"/>
      <c r="E22" s="130"/>
      <c r="F22" s="130"/>
      <c r="G22" s="130"/>
      <c r="H22" s="135"/>
      <c r="J22" s="164" t="s">
        <v>172</v>
      </c>
      <c r="K22" s="162">
        <f>K20/'3 Statement'!C13</f>
        <v>-140.2588459356941</v>
      </c>
    </row>
    <row r="23" spans="2:11" x14ac:dyDescent="0.25">
      <c r="B23" s="139" t="s">
        <v>163</v>
      </c>
      <c r="C23" s="118"/>
      <c r="D23" s="118"/>
      <c r="E23" s="141">
        <f>(E20/D20) - 1</f>
        <v>-2.2450080782526678</v>
      </c>
      <c r="F23" s="141">
        <f t="shared" ref="F23:H23" si="3">(F20/E20) - 1</f>
        <v>0.1087367902543388</v>
      </c>
      <c r="G23" s="141">
        <f t="shared" si="3"/>
        <v>8.2310450596775109E-2</v>
      </c>
      <c r="H23" s="142">
        <f t="shared" si="3"/>
        <v>6.0136812331090361E-2</v>
      </c>
    </row>
    <row r="25" spans="2:11" x14ac:dyDescent="0.25">
      <c r="B25" s="165" t="s">
        <v>175</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Cover</vt:lpstr>
      <vt:lpstr>3 Statement</vt:lpstr>
      <vt:lpstr>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Nguyen</dc:creator>
  <cp:lastModifiedBy>Tim Nguyen</cp:lastModifiedBy>
  <dcterms:created xsi:type="dcterms:W3CDTF">2026-04-18T04:58:16Z</dcterms:created>
  <dcterms:modified xsi:type="dcterms:W3CDTF">2026-05-03T05:36:49Z</dcterms:modified>
</cp:coreProperties>
</file>