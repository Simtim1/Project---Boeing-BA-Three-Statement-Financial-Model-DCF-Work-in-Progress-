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\Desktop\"/>
    </mc:Choice>
  </mc:AlternateContent>
  <xr:revisionPtr revIDLastSave="0" documentId="13_ncr:1_{B79E7FB4-C819-4663-8866-82624EA9FC6F}" xr6:coauthVersionLast="47" xr6:coauthVersionMax="47" xr10:uidLastSave="{00000000-0000-0000-0000-000000000000}"/>
  <bookViews>
    <workbookView xWindow="-120" yWindow="-120" windowWidth="29040" windowHeight="15720" activeTab="1" xr2:uid="{63A9B8CA-83BF-48D9-A8B6-530B504F47C6}"/>
  </bookViews>
  <sheets>
    <sheet name="Cover" sheetId="1" r:id="rId1"/>
    <sheet name="3 Statement" sheetId="3" r:id="rId2"/>
  </sheets>
  <definedNames>
    <definedName name="Company_Name">Cover!#REF!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" i="3" l="1"/>
  <c r="H4" i="3"/>
  <c r="G6" i="3"/>
  <c r="G51" i="3"/>
  <c r="C6" i="3"/>
  <c r="E4" i="3"/>
  <c r="F4" i="3"/>
  <c r="G4" i="3"/>
  <c r="D4" i="3"/>
  <c r="H27" i="3"/>
  <c r="D26" i="3" l="1"/>
  <c r="E26" i="3"/>
  <c r="F26" i="3"/>
  <c r="G26" i="3"/>
  <c r="C26" i="3"/>
  <c r="D27" i="3"/>
  <c r="E27" i="3"/>
  <c r="F27" i="3"/>
  <c r="G27" i="3"/>
  <c r="C27" i="3"/>
  <c r="E25" i="3"/>
  <c r="F25" i="3"/>
  <c r="G25" i="3"/>
  <c r="C25" i="3"/>
  <c r="D25" i="3"/>
  <c r="D24" i="3"/>
  <c r="E24" i="3"/>
  <c r="F24" i="3"/>
  <c r="G24" i="3"/>
  <c r="C24" i="3"/>
  <c r="D22" i="3"/>
  <c r="E22" i="3"/>
  <c r="F22" i="3"/>
  <c r="G22" i="3"/>
  <c r="C22" i="3"/>
  <c r="D21" i="3"/>
  <c r="E21" i="3"/>
  <c r="F21" i="3"/>
  <c r="G21" i="3"/>
  <c r="C21" i="3"/>
  <c r="D20" i="3"/>
  <c r="E20" i="3"/>
  <c r="F20" i="3"/>
  <c r="G20" i="3"/>
  <c r="C20" i="3"/>
  <c r="D19" i="3"/>
  <c r="E19" i="3"/>
  <c r="F19" i="3"/>
  <c r="G19" i="3"/>
  <c r="C19" i="3"/>
  <c r="D17" i="3"/>
  <c r="E17" i="3"/>
  <c r="F17" i="3"/>
  <c r="G17" i="3"/>
  <c r="C17" i="3"/>
  <c r="D16" i="3"/>
  <c r="E16" i="3"/>
  <c r="F16" i="3"/>
  <c r="G16" i="3"/>
  <c r="C16" i="3"/>
  <c r="D15" i="3"/>
  <c r="E15" i="3"/>
  <c r="F15" i="3"/>
  <c r="G15" i="3"/>
  <c r="C15" i="3"/>
  <c r="G13" i="3"/>
  <c r="D9" i="3" l="1"/>
  <c r="E9" i="3"/>
  <c r="F9" i="3"/>
  <c r="G9" i="3"/>
  <c r="C9" i="3"/>
  <c r="D8" i="3"/>
  <c r="E8" i="3"/>
  <c r="F8" i="3"/>
  <c r="G8" i="3"/>
  <c r="C8" i="3"/>
  <c r="D7" i="3"/>
  <c r="E7" i="3"/>
  <c r="F7" i="3"/>
  <c r="G7" i="3"/>
  <c r="C7" i="3"/>
  <c r="H31" i="3"/>
  <c r="H20" i="3"/>
  <c r="E2" i="3"/>
  <c r="F2" i="3" s="1"/>
  <c r="G2" i="3" s="1"/>
  <c r="H2" i="3" s="1"/>
  <c r="I2" i="3" s="1"/>
  <c r="J2" i="3" s="1"/>
  <c r="K2" i="3" s="1"/>
  <c r="L2" i="3" s="1"/>
  <c r="D2" i="3"/>
  <c r="H52" i="3"/>
  <c r="I52" i="3" s="1"/>
  <c r="H50" i="3"/>
  <c r="I50" i="3" s="1"/>
  <c r="H46" i="3"/>
  <c r="I46" i="3" s="1"/>
  <c r="H41" i="3"/>
  <c r="I41" i="3" s="1"/>
  <c r="H39" i="3"/>
  <c r="H36" i="3" l="1"/>
  <c r="H9" i="3" s="1"/>
  <c r="H35" i="3"/>
  <c r="H8" i="3" s="1"/>
  <c r="H32" i="3"/>
  <c r="H7" i="3" s="1"/>
  <c r="I31" i="3"/>
  <c r="J4" i="3" s="1"/>
  <c r="J52" i="3"/>
  <c r="K52" i="3" s="1"/>
  <c r="L52" i="3" s="1"/>
  <c r="I20" i="3"/>
  <c r="J46" i="3"/>
  <c r="I27" i="3"/>
  <c r="J50" i="3"/>
  <c r="K50" i="3" s="1"/>
  <c r="J41" i="3"/>
  <c r="K41" i="3" s="1"/>
  <c r="I39" i="3"/>
  <c r="D11" i="1"/>
  <c r="G88" i="3"/>
  <c r="F88" i="3"/>
  <c r="F91" i="3" s="1"/>
  <c r="J31" i="3" l="1"/>
  <c r="K4" i="3" s="1"/>
  <c r="I36" i="3"/>
  <c r="I9" i="3" s="1"/>
  <c r="J36" i="3" s="1"/>
  <c r="J9" i="3" s="1"/>
  <c r="I32" i="3"/>
  <c r="I7" i="3" s="1"/>
  <c r="I35" i="3"/>
  <c r="J20" i="3"/>
  <c r="K20" i="3" s="1"/>
  <c r="K46" i="3"/>
  <c r="J27" i="3"/>
  <c r="K27" i="3" s="1"/>
  <c r="L27" i="3" s="1"/>
  <c r="L50" i="3"/>
  <c r="L41" i="3"/>
  <c r="J39" i="3"/>
  <c r="H33" i="3"/>
  <c r="H6" i="3" s="1"/>
  <c r="J32" i="3" l="1"/>
  <c r="J7" i="3" s="1"/>
  <c r="I8" i="3"/>
  <c r="I37" i="3"/>
  <c r="K31" i="3"/>
  <c r="L4" i="3" s="1"/>
  <c r="J35" i="3"/>
  <c r="L20" i="3"/>
  <c r="I33" i="3"/>
  <c r="L46" i="3"/>
  <c r="H37" i="3"/>
  <c r="H38" i="3" s="1"/>
  <c r="H10" i="3" s="1"/>
  <c r="K39" i="3"/>
  <c r="L39" i="3" s="1"/>
  <c r="L31" i="3" l="1"/>
  <c r="J8" i="3"/>
  <c r="K35" i="3" s="1"/>
  <c r="J37" i="3"/>
  <c r="K36" i="3"/>
  <c r="K9" i="3" s="1"/>
  <c r="K32" i="3"/>
  <c r="K7" i="3" s="1"/>
  <c r="I38" i="3"/>
  <c r="I6" i="3"/>
  <c r="H43" i="3"/>
  <c r="H44" i="3" s="1"/>
  <c r="J33" i="3"/>
  <c r="C144" i="3"/>
  <c r="C145" i="3" s="1"/>
  <c r="D144" i="3"/>
  <c r="D145" i="3" s="1"/>
  <c r="E144" i="3"/>
  <c r="E145" i="3" s="1"/>
  <c r="F144" i="3"/>
  <c r="F145" i="3" s="1"/>
  <c r="G144" i="3"/>
  <c r="G145" i="3" s="1"/>
  <c r="C138" i="3"/>
  <c r="D138" i="3"/>
  <c r="E138" i="3"/>
  <c r="G138" i="3"/>
  <c r="F138" i="3"/>
  <c r="E125" i="3"/>
  <c r="E129" i="3" s="1"/>
  <c r="D129" i="3"/>
  <c r="F129" i="3"/>
  <c r="G129" i="3"/>
  <c r="C129" i="3"/>
  <c r="C63" i="3"/>
  <c r="D63" i="3"/>
  <c r="C37" i="3"/>
  <c r="L32" i="3" l="1"/>
  <c r="L7" i="3" s="1"/>
  <c r="L36" i="3"/>
  <c r="L9" i="3" s="1"/>
  <c r="K8" i="3"/>
  <c r="L35" i="3" s="1"/>
  <c r="K37" i="3"/>
  <c r="J38" i="3"/>
  <c r="J6" i="3"/>
  <c r="I43" i="3"/>
  <c r="I10" i="3"/>
  <c r="H45" i="3"/>
  <c r="K33" i="3"/>
  <c r="D95" i="3"/>
  <c r="E95" i="3" s="1"/>
  <c r="F95" i="3" s="1"/>
  <c r="G95" i="3" s="1"/>
  <c r="H95" i="3" s="1"/>
  <c r="I95" i="3" s="1"/>
  <c r="J95" i="3" s="1"/>
  <c r="K95" i="3" s="1"/>
  <c r="L95" i="3" s="1"/>
  <c r="C42" i="3"/>
  <c r="G37" i="3"/>
  <c r="F37" i="3"/>
  <c r="E37" i="3"/>
  <c r="D37" i="3"/>
  <c r="G33" i="3"/>
  <c r="F33" i="3"/>
  <c r="F6" i="3" s="1"/>
  <c r="E33" i="3"/>
  <c r="E6" i="3" s="1"/>
  <c r="D33" i="3"/>
  <c r="D6" i="3" s="1"/>
  <c r="C33" i="3"/>
  <c r="D30" i="3"/>
  <c r="D55" i="3"/>
  <c r="G91" i="3"/>
  <c r="D88" i="3"/>
  <c r="D91" i="3" s="1"/>
  <c r="E88" i="3"/>
  <c r="E91" i="3" s="1"/>
  <c r="C88" i="3"/>
  <c r="C91" i="3" s="1"/>
  <c r="L33" i="3" l="1"/>
  <c r="L8" i="3"/>
  <c r="L37" i="3"/>
  <c r="H47" i="3"/>
  <c r="H49" i="3" s="1"/>
  <c r="H51" i="3" s="1"/>
  <c r="H11" i="3"/>
  <c r="I44" i="3"/>
  <c r="I45" i="3" s="1"/>
  <c r="K38" i="3"/>
  <c r="K6" i="3"/>
  <c r="J43" i="3"/>
  <c r="J10" i="3"/>
  <c r="L38" i="3"/>
  <c r="L6" i="3"/>
  <c r="C38" i="3"/>
  <c r="C10" i="3" s="1"/>
  <c r="E55" i="3"/>
  <c r="E30" i="3"/>
  <c r="F38" i="3"/>
  <c r="F10" i="3" s="1"/>
  <c r="D38" i="3"/>
  <c r="D10" i="3" s="1"/>
  <c r="E38" i="3"/>
  <c r="E10" i="3" s="1"/>
  <c r="G38" i="3"/>
  <c r="G10" i="3" s="1"/>
  <c r="I11" i="3" l="1"/>
  <c r="I47" i="3"/>
  <c r="I49" i="3" s="1"/>
  <c r="J44" i="3"/>
  <c r="J45" i="3" s="1"/>
  <c r="H53" i="3"/>
  <c r="L43" i="3"/>
  <c r="L10" i="3"/>
  <c r="K43" i="3"/>
  <c r="K10" i="3"/>
  <c r="G43" i="3"/>
  <c r="F30" i="3"/>
  <c r="F55" i="3"/>
  <c r="E43" i="3"/>
  <c r="E45" i="3" s="1"/>
  <c r="C43" i="3"/>
  <c r="C45" i="3" s="1"/>
  <c r="D43" i="3"/>
  <c r="D45" i="3" s="1"/>
  <c r="F43" i="3"/>
  <c r="F45" i="3" s="1"/>
  <c r="C76" i="3"/>
  <c r="C82" i="3" s="1"/>
  <c r="C92" i="3" s="1"/>
  <c r="D76" i="3"/>
  <c r="D82" i="3" s="1"/>
  <c r="D92" i="3" s="1"/>
  <c r="E76" i="3"/>
  <c r="E82" i="3" s="1"/>
  <c r="E92" i="3" s="1"/>
  <c r="F76" i="3"/>
  <c r="G76" i="3"/>
  <c r="G82" i="3" s="1"/>
  <c r="G92" i="3" s="1"/>
  <c r="C71" i="3"/>
  <c r="D71" i="3"/>
  <c r="E63" i="3"/>
  <c r="E71" i="3" s="1"/>
  <c r="F63" i="3"/>
  <c r="F71" i="3" s="1"/>
  <c r="G63" i="3"/>
  <c r="G71" i="3" s="1"/>
  <c r="J11" i="3" l="1"/>
  <c r="J47" i="3"/>
  <c r="J49" i="3" s="1"/>
  <c r="K44" i="3"/>
  <c r="K45" i="3" s="1"/>
  <c r="I51" i="3"/>
  <c r="I53" i="3"/>
  <c r="L44" i="3"/>
  <c r="L45" i="3" s="1"/>
  <c r="F47" i="3"/>
  <c r="F49" i="3" s="1"/>
  <c r="F11" i="3"/>
  <c r="E47" i="3"/>
  <c r="E49" i="3" s="1"/>
  <c r="E11" i="3"/>
  <c r="D47" i="3"/>
  <c r="D49" i="3" s="1"/>
  <c r="D11" i="3"/>
  <c r="C47" i="3"/>
  <c r="C49" i="3" s="1"/>
  <c r="C11" i="3"/>
  <c r="C93" i="3"/>
  <c r="H21" i="3"/>
  <c r="I21" i="3" s="1"/>
  <c r="G55" i="3"/>
  <c r="G45" i="3"/>
  <c r="F82" i="3"/>
  <c r="F92" i="3" s="1"/>
  <c r="F93" i="3" s="1"/>
  <c r="E93" i="3"/>
  <c r="G30" i="3"/>
  <c r="D93" i="3"/>
  <c r="G93" i="3"/>
  <c r="F96" i="3"/>
  <c r="F118" i="3" s="1"/>
  <c r="D96" i="3"/>
  <c r="D118" i="3" s="1"/>
  <c r="C96" i="3"/>
  <c r="C118" i="3" s="1"/>
  <c r="E96" i="3"/>
  <c r="E118" i="3" s="1"/>
  <c r="L11" i="3" l="1"/>
  <c r="L47" i="3"/>
  <c r="L49" i="3" s="1"/>
  <c r="K11" i="3"/>
  <c r="K47" i="3"/>
  <c r="K49" i="3" s="1"/>
  <c r="J53" i="3"/>
  <c r="J51" i="3"/>
  <c r="G47" i="3"/>
  <c r="G49" i="3" s="1"/>
  <c r="G11" i="3"/>
  <c r="J21" i="3"/>
  <c r="C140" i="3"/>
  <c r="F140" i="3"/>
  <c r="E140" i="3"/>
  <c r="D140" i="3"/>
  <c r="H55" i="3"/>
  <c r="I55" i="3" s="1"/>
  <c r="J55" i="3" s="1"/>
  <c r="K55" i="3" s="1"/>
  <c r="L55" i="3" s="1"/>
  <c r="H30" i="3"/>
  <c r="I30" i="3" s="1"/>
  <c r="J30" i="3" s="1"/>
  <c r="K30" i="3" s="1"/>
  <c r="L30" i="3" s="1"/>
  <c r="G53" i="3"/>
  <c r="F51" i="3"/>
  <c r="F53" i="3"/>
  <c r="E51" i="3"/>
  <c r="E53" i="3"/>
  <c r="D53" i="3"/>
  <c r="D51" i="3"/>
  <c r="C53" i="3"/>
  <c r="C51" i="3"/>
  <c r="G96" i="3"/>
  <c r="G118" i="3" s="1"/>
  <c r="K53" i="3" l="1"/>
  <c r="K51" i="3"/>
  <c r="L51" i="3"/>
  <c r="L53" i="3"/>
  <c r="K21" i="3"/>
  <c r="L21" i="3" s="1"/>
  <c r="H24" i="3"/>
  <c r="H19" i="3"/>
  <c r="I19" i="3" s="1"/>
  <c r="J19" i="3" s="1"/>
  <c r="G140" i="3"/>
  <c r="K19" i="3" l="1"/>
  <c r="L19" i="3" s="1"/>
  <c r="I24" i="3"/>
  <c r="J24" i="3" l="1"/>
  <c r="K24" i="3" s="1"/>
  <c r="L24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tc={055D5F0C-0A02-43EA-950D-294DE5635375}</author>
    <author>tc={9642E61D-A12C-4FC2-9EE1-52ABBE0D2278}</author>
    <author>tc={C2BC33A5-D0C0-4E4B-9056-CDED9D1C7B83}</author>
    <author>tc={7DFCA7F6-9A3C-4057-B292-C36464C66DAF}</author>
    <author>tc={13F13D2F-A08A-4111-A835-FE6FBD97ECB9}</author>
    <author>tc={5B93EEC1-D378-4268-ACFA-5729897E4E79}</author>
    <author>tc={DA9B49CD-FA7F-4574-A934-93ED6001B351}</author>
    <author>tc={88DB0522-55D8-4812-B813-124BB1AFEA83}</author>
    <author>tc={D444E2BF-F590-40CF-954C-ED8B52E75058}</author>
    <author>tc={EA8FA246-8764-48C3-8B1F-AA45006D8E47}</author>
    <author>tc={A0EBDB2E-4E83-4F19-B476-BA22DEDFA8E7}</author>
    <author>tc={097CDB56-F2D4-4881-BC19-7EDB46F7A35B}</author>
    <author>tc={2FAB5614-E802-466C-B7F7-A7998FC509FF}</author>
    <author>tc={FCBF5430-CC16-4FA7-A328-F055805876BF}</author>
    <author>tc={FD6A5B35-3131-4842-8F2D-3FB1F51BA0DC}</author>
    <author>tc={0E7DD524-690B-4527-A530-CA5E1EA00D3F}</author>
    <author>tc={0D16BCCB-0174-46A1-AC59-A92F3BA51CAF}</author>
    <author>tc={7BF5A409-3B9B-4BF6-9926-A316C2332D1A}</author>
    <author>tc={B185F72E-53E4-443E-AD15-F5590811DD24}</author>
    <author>tc={9D6FFE3E-6A80-4A18-BAE1-FF9B3DF7F127}</author>
    <author>tc={0ACD9A4E-A6CB-4807-A557-5CCDA362CE4D}</author>
    <author>tc={2F685951-B4C8-4575-98BE-C71E921F6006}</author>
    <author>tc={735ECB3F-6B00-471D-B528-CF78FA9D8DCB}</author>
    <author>tc={723A0937-6AEF-49F9-A01F-764A700BA8DF}</author>
    <author>tc={E020734A-44B8-41B1-9F60-59BA644A2BE0}</author>
    <author>tc={BF7762D6-2D19-4E5A-A42F-48F1758CDBF9}</author>
    <author>tc={BD0AADAC-A367-4E56-B134-8D85E5D1F39A}</author>
    <author>tc={8408FF94-C482-4CF7-B3B6-E64B1A7C83FA}</author>
    <author>tc={D28620DE-7806-4031-A94C-5A70B9745900}</author>
    <author>tc={DF0D4C79-7457-440F-B77D-C897944542A1}</author>
    <author>tc={3406BCD8-C23B-47A2-8911-97DD0FF0B2D2}</author>
  </authors>
  <commentList>
    <comment ref="B4" authorId="0" shapeId="0" xr:uid="{055D5F0C-0A02-43EA-950D-294DE5635375}">
      <text>
        <t>[Threaded comment]
Your version of Excel allows you to read this threaded comment; however, any edits to it will get removed if the file is opened in a newer version of Excel. Learn more: https://go.microsoft.com/fwlink/?linkid=870924
Comment:
    = (Current Revenue / Prior Revenue) - 1</t>
      </text>
    </comment>
    <comment ref="H4" authorId="1" shapeId="0" xr:uid="{9642E61D-A12C-4FC2-9EE1-52ABBE0D2278}">
      <text>
        <t>[Threaded comment]
Your version of Excel allows you to read this threaded comment; however, any edits to it will get removed if the file is opened in a newer version of Excel. Learn more: https://go.microsoft.com/fwlink/?linkid=870924
Comment:
    CAGR</t>
      </text>
    </comment>
    <comment ref="B6" authorId="2" shapeId="0" xr:uid="{C2BC33A5-D0C0-4E4B-9056-CDED9D1C7B83}">
      <text>
        <t>[Threaded comment]
Your version of Excel allows you to read this threaded comment; however, any edits to it will get removed if the file is opened in a newer version of Excel. Learn more: https://go.microsoft.com/fwlink/?linkid=870924
Comment:
    = Gross Profit / Revenue</t>
      </text>
    </comment>
    <comment ref="B7" authorId="3" shapeId="0" xr:uid="{7DFCA7F6-9A3C-4057-B292-C36464C66D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 COGS / Revenue </t>
      </text>
    </comment>
    <comment ref="B8" authorId="4" shapeId="0" xr:uid="{13F13D2F-A08A-4111-A835-FE6FBD97ECB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 SG&amp;A / Revenue </t>
      </text>
    </comment>
    <comment ref="B9" authorId="5" shapeId="0" xr:uid="{5B93EEC1-D378-4268-ACFA-5729897E4E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 R&amp;D / Revenue </t>
      </text>
    </comment>
    <comment ref="B10" authorId="6" shapeId="0" xr:uid="{DA9B49CD-FA7F-4574-A934-93ED6001B3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 EBIT / Revenue </t>
      </text>
    </comment>
    <comment ref="B11" authorId="7" shapeId="0" xr:uid="{88DB0522-55D8-4812-B813-124BB1AFEA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 Net Income / Revenue </t>
      </text>
    </comment>
    <comment ref="B13" authorId="8" shapeId="0" xr:uid="{D444E2BF-F590-40CF-954C-ED8B52E750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 Taxes / EBT — nm (not meaningful) in loss years. Use statutory rate of 21% as forecast assumption 
= Taxes / EBT </t>
      </text>
    </comment>
    <comment ref="B15" authorId="9" shapeId="0" xr:uid="{EA8FA246-8764-48C3-8B1F-AA45006D8E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 Capex / Revenue </t>
      </text>
    </comment>
    <comment ref="B16" authorId="10" shapeId="0" xr:uid="{A0EBDB2E-4E83-4F19-B476-BA22DEDFA8E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 Capex / PP&amp;E </t>
      </text>
    </comment>
    <comment ref="B17" authorId="11" shapeId="0" xr:uid="{097CDB56-F2D4-4881-BC19-7EDB46F7A3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 D&amp;A / Revenue </t>
      </text>
    </comment>
    <comment ref="B19" authorId="12" shapeId="0" xr:uid="{2FAB5614-E802-466C-B7F7-A7998FC509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 Accounts Receivable / Revenue × 365 </t>
      </text>
    </comment>
    <comment ref="H19" authorId="13" shapeId="0" xr:uid="{FCBF5430-CC16-4FA7-A328-F055805876BF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5 Year Average</t>
      </text>
    </comment>
    <comment ref="B20" authorId="14" shapeId="0" xr:uid="{FD6A5B35-3131-4842-8F2D-3FB1F51BA0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 Inventory / COGS × 365 </t>
      </text>
    </comment>
    <comment ref="H20" authorId="15" shapeId="0" xr:uid="{0E7DD524-690B-4527-A530-CA5E1EA00D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Using 3 Year Average
</t>
      </text>
    </comment>
    <comment ref="B21" authorId="16" shapeId="0" xr:uid="{0D16BCCB-0174-46A1-AC59-A92F3BA51C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 Accounts Payable / COGS × 365 </t>
      </text>
    </comment>
    <comment ref="H21" authorId="17" shapeId="0" xr:uid="{7BF5A409-3B9B-4BF6-9926-A316C2332D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Using 5 Year Average
</t>
      </text>
    </comment>
    <comment ref="B22" authorId="18" shapeId="0" xr:uid="{B185F72E-53E4-443E-AD15-F5590811DD2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 Advances &amp; Progress Billings / Revenue </t>
      </text>
    </comment>
    <comment ref="B24" authorId="19" shapeId="0" xr:uid="{9D6FFE3E-6A80-4A18-BAE1-FF9B3DF7F1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Net Debt = Short-term Debt + Long-term Debt − Cash − Short-term Investments
</t>
      </text>
    </comment>
    <comment ref="B25" authorId="20" shapeId="0" xr:uid="{0ACD9A4E-A6CB-4807-A557-5CCDA362CE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nm = not meaningful in loss years where EBITA is negative </t>
      </text>
    </comment>
    <comment ref="B26" authorId="21" shapeId="0" xr:uid="{2F685951-B4C8-4575-98BE-C71E921F60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nm = not meaningful in loss years where EBITA is negative 
</t>
      </text>
    </comment>
    <comment ref="B27" authorId="22" shapeId="0" xr:uid="{735ECB3F-6B00-471D-B528-CF78FA9D8D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= Interest Expense / Total Debt </t>
      </text>
    </comment>
    <comment ref="H27" authorId="23" shapeId="0" xr:uid="{723A0937-6AEF-49F9-A01F-764A700BA8DF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3 Year Average</t>
      </text>
    </comment>
    <comment ref="H39" authorId="24" shapeId="0" xr:uid="{E020734A-44B8-41B1-9F60-59BA644A2BE0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3 Year Average</t>
      </text>
    </comment>
    <comment ref="H48" authorId="25" shapeId="0" xr:uid="{BF7762D6-2D19-4E5A-A42F-48F1758CDB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"Fixed annual dividend of $345M based on Boeing's 6.00% Series A Mandatory Convertible Preferred Stock issued October 2024. Calculated as $5,750M liquidation preference × 6.00% dividend rate. Mandatory conversion to common shares on or about October 15, 2027. 2027E reflects approximately half year dividend (~$173M) and zero thereafter." </t>
      </text>
    </comment>
    <comment ref="I48" authorId="26" shapeId="0" xr:uid="{BD0AADAC-A367-4E56-B134-8D85E5D1F3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"Fixed annual dividend of $345M based on Boeing's 6.00% Series A Mandatory Convertible Preferred Stock issued October 2024. Calculated as $5,750M liquidation preference × 6.00% dividend rate. Mandatory conversion to common shares on or about October 15, 2027. 2027E reflects approximately half year dividend (~$173M) and zero thereafter." </t>
      </text>
    </comment>
    <comment ref="B50" authorId="27" shapeId="0" xr:uid="{8408FF94-C482-4CF7-B3B6-E64B1A7C83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Disclosed as basic weighted average common shares outstanding in the EPS footnote of the 10-K </t>
      </text>
    </comment>
    <comment ref="B52" authorId="28" shapeId="0" xr:uid="{D28620DE-7806-4031-A94C-5A70B97459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Disclosed as diluted weighted average common shares outstanding in the EPS footnote of the 10-K 
</t>
      </text>
    </comment>
    <comment ref="B103" authorId="29" shapeId="0" xr:uid="{DF0D4C79-7457-440F-B77D-C897944542A1}">
      <text>
        <t>[Threaded comment]
Your version of Excel allows you to read this threaded comment; however, any edits to it will get removed if the file is opened in a newer version of Excel. Learn more: https://go.microsoft.com/fwlink/?linkid=870924
Comment:
    777X and 787 Reach Forward Losses in 2021</t>
      </text>
    </comment>
    <comment ref="B119" authorId="30" shapeId="0" xr:uid="{3406BCD8-C23B-47A2-8911-97DD0FF0B2D2}">
      <text>
        <t>[Threaded comment]
Your version of Excel allows you to read this threaded comment; however, any edits to it will get removed if the file is opened in a newer version of Excel. Learn more: https://go.microsoft.com/fwlink/?linkid=870924
Comment:
    Payments to Acquire Property, Plant and Equipment</t>
      </text>
    </comment>
  </commentList>
</comments>
</file>

<file path=xl/sharedStrings.xml><?xml version="1.0" encoding="utf-8"?>
<sst xmlns="http://schemas.openxmlformats.org/spreadsheetml/2006/main" count="145" uniqueCount="135">
  <si>
    <t>Income Statement</t>
  </si>
  <si>
    <t>Revenue</t>
  </si>
  <si>
    <t>Cost of Goods Sold (COGS)</t>
  </si>
  <si>
    <t>Gross Profit</t>
  </si>
  <si>
    <t>Expenses</t>
  </si>
  <si>
    <t>Taxes</t>
  </si>
  <si>
    <t>SG&amp;A Expenses</t>
  </si>
  <si>
    <t>Operating Expenses</t>
  </si>
  <si>
    <t>Operating Income (EBIT)</t>
  </si>
  <si>
    <t>Interest Expense</t>
  </si>
  <si>
    <t>Earnings Before Tax (EBT)</t>
  </si>
  <si>
    <t>Other Income</t>
  </si>
  <si>
    <t>Balance Statement</t>
  </si>
  <si>
    <t>Cash</t>
  </si>
  <si>
    <t>Inventory</t>
  </si>
  <si>
    <t>PP&amp;E</t>
  </si>
  <si>
    <t>Accounts Payable</t>
  </si>
  <si>
    <t>Short-term Investments</t>
  </si>
  <si>
    <t>Total Current Assets</t>
  </si>
  <si>
    <t>Other Current Assets</t>
  </si>
  <si>
    <t>Total Assets</t>
  </si>
  <si>
    <t>Long-term Debt</t>
  </si>
  <si>
    <t>Total Liabilities</t>
  </si>
  <si>
    <t>Total Current Liabilities</t>
  </si>
  <si>
    <t>Additional Paid-in Capital</t>
  </si>
  <si>
    <t>Treasury Stock</t>
  </si>
  <si>
    <t>Retained Earnings</t>
  </si>
  <si>
    <t>Total Equity</t>
  </si>
  <si>
    <t>Unbilled Receivables</t>
  </si>
  <si>
    <t>Goodwill</t>
  </si>
  <si>
    <t>Acquired Intangibles Assets, Net</t>
  </si>
  <si>
    <t>Deferred Income Taxes</t>
  </si>
  <si>
    <t>Investments</t>
  </si>
  <si>
    <t>Current Portion of Financing Receivables</t>
  </si>
  <si>
    <t>Accrued Liabilities</t>
  </si>
  <si>
    <t>Advances and Progress Billings</t>
  </si>
  <si>
    <t>Short-term debt and current portion of long-term debt</t>
  </si>
  <si>
    <t>Accrued Retiree Health Care</t>
  </si>
  <si>
    <t>Accrued Pension Plan Liabilities</t>
  </si>
  <si>
    <t>Other Long-Term Liabilities</t>
  </si>
  <si>
    <t>Common Stock</t>
  </si>
  <si>
    <t>Accumulated Other Comprehensive Loss</t>
  </si>
  <si>
    <t>Total Shareholder Equity</t>
  </si>
  <si>
    <t>Non-controlling Interests</t>
  </si>
  <si>
    <t>Total Liabilities and Equity</t>
  </si>
  <si>
    <t>Mandatory Convertible Preferred Stock</t>
  </si>
  <si>
    <t>Gains on Dispositions, Net</t>
  </si>
  <si>
    <t>Income from Operating Investments, Net</t>
  </si>
  <si>
    <t>Cash Flow Statement</t>
  </si>
  <si>
    <t>Net Income</t>
  </si>
  <si>
    <t>Net Earnings (Net Income)</t>
  </si>
  <si>
    <t>Changes in Assets and Liabilities</t>
  </si>
  <si>
    <t>Accounts Receivables</t>
  </si>
  <si>
    <t>Advances &amp; Progress Billings</t>
  </si>
  <si>
    <t>Change in Inventory</t>
  </si>
  <si>
    <t>Cash Flow from Operating Activities</t>
  </si>
  <si>
    <t>Capital Expenditure</t>
  </si>
  <si>
    <t>Cash Flow from Investing Activities</t>
  </si>
  <si>
    <t>Cash Flow from Financing Activities</t>
  </si>
  <si>
    <t>Net Change in Cash</t>
  </si>
  <si>
    <t>Shared-Based Plans Expense</t>
  </si>
  <si>
    <t>Treasury Shares Issued for 401(K) Contribution</t>
  </si>
  <si>
    <t>777X and 767 Reach-Forward Losses</t>
  </si>
  <si>
    <t>Other Non-Cash Items, Net</t>
  </si>
  <si>
    <t>Income Taxes Receivables, Payable and Deferred</t>
  </si>
  <si>
    <t>Pension and Other Postretirement Plans</t>
  </si>
  <si>
    <t xml:space="preserve">Other </t>
  </si>
  <si>
    <t>Proceeds from disposals of PP&amp;E</t>
  </si>
  <si>
    <t>Contributions to Investments</t>
  </si>
  <si>
    <t>Proceeds from Dispositions</t>
  </si>
  <si>
    <t>Acquisitions, Net of Cash Acquired</t>
  </si>
  <si>
    <t>Proceeds from Investments</t>
  </si>
  <si>
    <t>Supplier Notes Receivable</t>
  </si>
  <si>
    <t>Repayments on Supplier Notes Receivable</t>
  </si>
  <si>
    <t>Purchase of Distribution Rights</t>
  </si>
  <si>
    <t>Other</t>
  </si>
  <si>
    <t>New Borrowings</t>
  </si>
  <si>
    <t>Debt Repayments</t>
  </si>
  <si>
    <t>Mandatory Convertible Preferred Stock Issuance</t>
  </si>
  <si>
    <t>Stock Options Exercised</t>
  </si>
  <si>
    <t>Employee Taxes on Share-Based Payment</t>
  </si>
  <si>
    <t>Dividends Paid on Mandatory Convertible Preferred Stock</t>
  </si>
  <si>
    <t>Impairment/Asset Impairment Charges, Net</t>
  </si>
  <si>
    <t>Customer Financing Valuation Adjustments</t>
  </si>
  <si>
    <t>Common Stock Issuance, Net Issuance Costs</t>
  </si>
  <si>
    <t>Effect of Exchange Rate Changes on Cash/Cash Equivalents</t>
  </si>
  <si>
    <t>Closing Cash (incl. restricted)</t>
  </si>
  <si>
    <t>Opening Cash (incl. restricted)</t>
  </si>
  <si>
    <t>Less Restricted Cash</t>
  </si>
  <si>
    <t>Cash &amp; Equivalents (End of Year)</t>
  </si>
  <si>
    <t>Assumptions</t>
  </si>
  <si>
    <t>Revenue and Growth</t>
  </si>
  <si>
    <t>Revenue Growth Rate (%)</t>
  </si>
  <si>
    <t>Profitability</t>
  </si>
  <si>
    <t>Gross Margin %</t>
  </si>
  <si>
    <t>COGS % of Revenue</t>
  </si>
  <si>
    <t>R&amp;D % of Revenue</t>
  </si>
  <si>
    <t>SG&amp;A % of Revenue</t>
  </si>
  <si>
    <t>EBIT Margin %</t>
  </si>
  <si>
    <t>Net Income Margin %</t>
  </si>
  <si>
    <t>Tax</t>
  </si>
  <si>
    <t>Effective Tax Rate</t>
  </si>
  <si>
    <t>Capex % of Revenue</t>
  </si>
  <si>
    <t>Capex % of PP&amp;E</t>
  </si>
  <si>
    <t>D&amp;A % of Revenue</t>
  </si>
  <si>
    <t>Working Capital</t>
  </si>
  <si>
    <t>DSO (Days)</t>
  </si>
  <si>
    <t>DIO (Days</t>
  </si>
  <si>
    <t>DPO (Days)</t>
  </si>
  <si>
    <t>Leverage &amp; Returns</t>
  </si>
  <si>
    <t>Net Debt ($M)</t>
  </si>
  <si>
    <t>Net Debt / EBITDA</t>
  </si>
  <si>
    <t>Interest Coverage (x)</t>
  </si>
  <si>
    <t>Interest % of Debt</t>
  </si>
  <si>
    <t>Basic EPS</t>
  </si>
  <si>
    <t>Capex (Capital Expenditure)</t>
  </si>
  <si>
    <t>Cash and Equivalent matching with Cash (Balance Sheet) Check</t>
  </si>
  <si>
    <t>Total Asset matching Total Liabilities and Equity Check</t>
  </si>
  <si>
    <t>Basic Shares Outstanding (Millions)</t>
  </si>
  <si>
    <t>Diluted Shares Outstanding (Millions</t>
  </si>
  <si>
    <t>Less: Noncontrolling Interests</t>
  </si>
  <si>
    <t>Net Earnings to Boeing Shareholders</t>
  </si>
  <si>
    <t>Less: Mandatory Convertible Preferred Dividends</t>
  </si>
  <si>
    <t>Net Earnings to Common Shareholders</t>
  </si>
  <si>
    <t>Diluted Basic EPS</t>
  </si>
  <si>
    <t>Advances &amp; Billings % of Revenue</t>
  </si>
  <si>
    <t>Depreciation &amp; Amortization (D&amp;A)</t>
  </si>
  <si>
    <t>Financing Receivables and Operating Leases Equipment, Net</t>
  </si>
  <si>
    <t>Financing Receivables and Operating Lease Equipment, Net</t>
  </si>
  <si>
    <t>The Boeing Company</t>
  </si>
  <si>
    <t xml:space="preserve">   Three Statement Financial Model &amp; DCF Valuation</t>
  </si>
  <si>
    <t>Prepared by</t>
  </si>
  <si>
    <t>Tim Nguyen</t>
  </si>
  <si>
    <t>Date</t>
  </si>
  <si>
    <t>Research and Development (R&amp;D)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</si>
</sst>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(#,##0\)_-;_-* &quot;-&quot;_-;_-@_-"/>
    <numFmt numFmtId="165" formatCode="0.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b/>
      <sz val="10"/>
      <color rgb="FF0000FF"/>
      <name val="Open Sans"/>
      <family val="2"/>
    </font>
    <font>
      <sz val="10"/>
      <color theme="1"/>
      <name val="Open Sans"/>
      <family val="2"/>
    </font>
    <font>
      <sz val="10"/>
      <color rgb="FF0000FF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u val="singleAccounting"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33A0"/>
      <name val="Aptos Narrow"/>
      <family val="2"/>
      <scheme val="minor"/>
    </font>
    <font>
      <sz val="28"/>
      <color theme="0"/>
      <name val="Open Sans"/>
      <family val="2"/>
    </font>
    <font>
      <sz val="11"/>
      <color theme="0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0033A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2">
    <xf numFmtId="0" fontId="0" fillId="0" borderId="0" xfId="0"/>
    <xf numFmtId="37" fontId="2" fillId="2" borderId="0" xfId="0" applyNumberFormat="1" applyFont="1" applyFill="1" applyAlignment="1">
      <alignment vertical="center"/>
    </xf>
    <xf numFmtId="0" fontId="2" fillId="2" borderId="0" xfId="1" applyNumberFormat="1" applyFont="1" applyFill="1" applyAlignment="1"/>
    <xf numFmtId="164" fontId="3" fillId="0" borderId="0" xfId="1" applyNumberFormat="1" applyFont="1"/>
    <xf numFmtId="164" fontId="5" fillId="0" borderId="0" xfId="1" applyNumberFormat="1" applyFont="1" applyBorder="1"/>
    <xf numFmtId="164" fontId="6" fillId="0" borderId="0" xfId="1" applyNumberFormat="1" applyFont="1" applyBorder="1"/>
    <xf numFmtId="164" fontId="3" fillId="0" borderId="1" xfId="1" applyNumberFormat="1" applyFont="1" applyBorder="1"/>
    <xf numFmtId="164" fontId="7" fillId="0" borderId="1" xfId="1" applyNumberFormat="1" applyFont="1" applyBorder="1"/>
    <xf numFmtId="164" fontId="3" fillId="0" borderId="0" xfId="1" applyNumberFormat="1" applyFont="1" applyBorder="1"/>
    <xf numFmtId="164" fontId="4" fillId="0" borderId="0" xfId="1" applyNumberFormat="1" applyFont="1" applyBorder="1"/>
    <xf numFmtId="164" fontId="5" fillId="0" borderId="0" xfId="1" applyNumberFormat="1" applyFont="1"/>
    <xf numFmtId="164" fontId="6" fillId="0" borderId="0" xfId="1" applyNumberFormat="1" applyFont="1"/>
    <xf numFmtId="164" fontId="3" fillId="0" borderId="3" xfId="1" applyNumberFormat="1" applyFont="1" applyBorder="1"/>
    <xf numFmtId="164" fontId="7" fillId="0" borderId="3" xfId="1" applyNumberFormat="1" applyFont="1" applyBorder="1"/>
    <xf numFmtId="164" fontId="5" fillId="0" borderId="0" xfId="1" applyNumberFormat="1" applyFont="1" applyBorder="1" applyAlignment="1">
      <alignment horizontal="left"/>
    </xf>
    <xf numFmtId="164" fontId="3" fillId="0" borderId="2" xfId="1" applyNumberFormat="1" applyFont="1" applyBorder="1"/>
    <xf numFmtId="164" fontId="5" fillId="0" borderId="0" xfId="1" applyNumberFormat="1" applyFont="1" applyFill="1" applyBorder="1" applyAlignment="1">
      <alignment horizontal="left"/>
    </xf>
    <xf numFmtId="164" fontId="7" fillId="0" borderId="2" xfId="1" applyNumberFormat="1" applyFont="1" applyBorder="1"/>
    <xf numFmtId="164" fontId="6" fillId="0" borderId="0" xfId="1" applyNumberFormat="1" applyFont="1" applyFill="1" applyBorder="1"/>
    <xf numFmtId="0" fontId="0" fillId="0" borderId="4" xfId="0" applyBorder="1"/>
    <xf numFmtId="164" fontId="6" fillId="0" borderId="4" xfId="1" applyNumberFormat="1" applyFont="1" applyBorder="1"/>
    <xf numFmtId="164" fontId="7" fillId="0" borderId="5" xfId="1" applyNumberFormat="1" applyFont="1" applyBorder="1"/>
    <xf numFmtId="0" fontId="0" fillId="0" borderId="7" xfId="0" applyBorder="1"/>
    <xf numFmtId="0" fontId="0" fillId="0" borderId="3" xfId="0" applyBorder="1"/>
    <xf numFmtId="164" fontId="4" fillId="0" borderId="2" xfId="1" applyNumberFormat="1" applyFont="1" applyBorder="1"/>
    <xf numFmtId="164" fontId="4" fillId="0" borderId="8" xfId="1" applyNumberFormat="1" applyFont="1" applyBorder="1"/>
    <xf numFmtId="164" fontId="3" fillId="0" borderId="10" xfId="1" applyNumberFormat="1" applyFont="1" applyBorder="1"/>
    <xf numFmtId="164" fontId="7" fillId="0" borderId="10" xfId="1" applyNumberFormat="1" applyFont="1" applyBorder="1"/>
    <xf numFmtId="164" fontId="7" fillId="0" borderId="9" xfId="1" applyNumberFormat="1" applyFont="1" applyBorder="1"/>
    <xf numFmtId="0" fontId="0" fillId="0" borderId="1" xfId="0" applyBorder="1"/>
    <xf numFmtId="0" fontId="0" fillId="0" borderId="11" xfId="0" applyBorder="1"/>
    <xf numFmtId="0" fontId="0" fillId="0" borderId="12" xfId="0" applyBorder="1"/>
    <xf numFmtId="0" fontId="0" fillId="0" borderId="10" xfId="0" applyBorder="1"/>
    <xf numFmtId="164" fontId="3" fillId="0" borderId="3" xfId="1" applyNumberFormat="1" applyFont="1" applyFill="1" applyBorder="1" applyAlignment="1">
      <alignment horizontal="left"/>
    </xf>
    <xf numFmtId="164" fontId="7" fillId="0" borderId="13" xfId="1" applyNumberFormat="1" applyFont="1" applyBorder="1"/>
    <xf numFmtId="164" fontId="3" fillId="0" borderId="10" xfId="1" applyNumberFormat="1" applyFont="1" applyBorder="1" applyAlignment="1">
      <alignment horizontal="left"/>
    </xf>
    <xf numFmtId="164" fontId="3" fillId="0" borderId="1" xfId="1" applyNumberFormat="1" applyFont="1" applyBorder="1" applyAlignment="1">
      <alignment horizontal="left"/>
    </xf>
    <xf numFmtId="0" fontId="0" fillId="0" borderId="13" xfId="0" applyBorder="1"/>
    <xf numFmtId="164" fontId="6" fillId="0" borderId="14" xfId="1" applyNumberFormat="1" applyFont="1" applyFill="1" applyBorder="1"/>
    <xf numFmtId="164" fontId="6" fillId="0" borderId="13" xfId="1" applyNumberFormat="1" applyFont="1" applyFill="1" applyBorder="1"/>
    <xf numFmtId="164" fontId="6" fillId="0" borderId="8" xfId="1" applyNumberFormat="1" applyFont="1" applyFill="1" applyBorder="1"/>
    <xf numFmtId="164" fontId="3" fillId="0" borderId="10" xfId="1" applyNumberFormat="1" applyFont="1" applyFill="1" applyBorder="1" applyAlignment="1">
      <alignment horizontal="left"/>
    </xf>
    <xf numFmtId="164" fontId="6" fillId="0" borderId="3" xfId="1" applyNumberFormat="1" applyFont="1" applyFill="1" applyBorder="1"/>
    <xf numFmtId="164" fontId="6" fillId="0" borderId="5" xfId="1" applyNumberFormat="1" applyFont="1" applyFill="1" applyBorder="1"/>
    <xf numFmtId="0" fontId="0" fillId="0" borderId="0" xfId="0" applyAlignment="1">
      <alignment horizontal="right"/>
    </xf>
    <xf numFmtId="0" fontId="0" fillId="0" borderId="15" xfId="0" applyBorder="1" applyAlignment="1">
      <alignment horizontal="right"/>
    </xf>
    <xf numFmtId="164" fontId="5" fillId="0" borderId="0" xfId="1" applyNumberFormat="1" applyFont="1" applyFill="1" applyBorder="1"/>
    <xf numFmtId="164" fontId="7" fillId="0" borderId="8" xfId="1" applyNumberFormat="1" applyFont="1" applyBorder="1"/>
    <xf numFmtId="164" fontId="8" fillId="0" borderId="0" xfId="1" applyNumberFormat="1" applyFont="1" applyBorder="1"/>
    <xf numFmtId="10" fontId="8" fillId="0" borderId="0" xfId="1" applyNumberFormat="1" applyFont="1" applyBorder="1"/>
    <xf numFmtId="0" fontId="8" fillId="0" borderId="2" xfId="1" applyNumberFormat="1" applyFont="1" applyBorder="1"/>
    <xf numFmtId="0" fontId="9" fillId="0" borderId="2" xfId="0" applyFont="1" applyBorder="1"/>
    <xf numFmtId="164" fontId="8" fillId="0" borderId="1" xfId="1" applyNumberFormat="1" applyFont="1" applyBorder="1"/>
    <xf numFmtId="164" fontId="8" fillId="0" borderId="0" xfId="1" applyNumberFormat="1" applyFont="1" applyBorder="1" applyAlignment="1">
      <alignment horizontal="right"/>
    </xf>
    <xf numFmtId="165" fontId="6" fillId="0" borderId="0" xfId="1" applyNumberFormat="1" applyFont="1" applyBorder="1"/>
    <xf numFmtId="164" fontId="6" fillId="0" borderId="14" xfId="1" applyNumberFormat="1" applyFont="1" applyBorder="1"/>
    <xf numFmtId="2" fontId="7" fillId="0" borderId="1" xfId="1" applyNumberFormat="1" applyFont="1" applyBorder="1"/>
    <xf numFmtId="2" fontId="7" fillId="0" borderId="10" xfId="1" applyNumberFormat="1" applyFont="1" applyBorder="1"/>
    <xf numFmtId="10" fontId="8" fillId="0" borderId="2" xfId="1" applyNumberFormat="1" applyFont="1" applyBorder="1"/>
    <xf numFmtId="0" fontId="11" fillId="3" borderId="0" xfId="0" applyFont="1" applyFill="1"/>
    <xf numFmtId="0" fontId="10" fillId="3" borderId="0" xfId="0" applyFont="1" applyFill="1"/>
    <xf numFmtId="0" fontId="0" fillId="3" borderId="0" xfId="0" applyFill="1"/>
    <xf numFmtId="10" fontId="8" fillId="0" borderId="4" xfId="1" applyNumberFormat="1" applyFont="1" applyBorder="1"/>
    <xf numFmtId="10" fontId="8" fillId="0" borderId="1" xfId="1" applyNumberFormat="1" applyFont="1" applyBorder="1"/>
    <xf numFmtId="10" fontId="8" fillId="0" borderId="11" xfId="1" applyNumberFormat="1" applyFont="1" applyBorder="1"/>
    <xf numFmtId="2" fontId="8" fillId="0" borderId="0" xfId="1" applyNumberFormat="1" applyFont="1" applyBorder="1"/>
    <xf numFmtId="2" fontId="8" fillId="0" borderId="1" xfId="1" applyNumberFormat="1" applyFont="1" applyBorder="1"/>
    <xf numFmtId="2" fontId="8" fillId="0" borderId="4" xfId="1" applyNumberFormat="1" applyFont="1" applyBorder="1"/>
    <xf numFmtId="2" fontId="8" fillId="0" borderId="11" xfId="1" applyNumberFormat="1" applyFont="1" applyBorder="1"/>
    <xf numFmtId="10" fontId="8" fillId="0" borderId="6" xfId="1" applyNumberFormat="1" applyFont="1" applyBorder="1"/>
    <xf numFmtId="164" fontId="8" fillId="0" borderId="4" xfId="1" applyNumberFormat="1" applyFont="1" applyBorder="1"/>
    <xf numFmtId="164" fontId="8" fillId="0" borderId="11" xfId="1" applyNumberFormat="1" applyFont="1" applyBorder="1"/>
    <xf numFmtId="164" fontId="8" fillId="0" borderId="6" xfId="1" applyNumberFormat="1" applyFont="1" applyBorder="1"/>
    <xf numFmtId="164" fontId="5" fillId="0" borderId="4" xfId="0" applyNumberFormat="1" applyFont="1" applyBorder="1"/>
    <xf numFmtId="164" fontId="5" fillId="0" borderId="0" xfId="0" applyNumberFormat="1" applyFont="1"/>
    <xf numFmtId="164" fontId="5" fillId="0" borderId="11" xfId="0" applyNumberFormat="1" applyFont="1" applyBorder="1"/>
    <xf numFmtId="164" fontId="5" fillId="0" borderId="1" xfId="0" applyNumberFormat="1" applyFont="1" applyBorder="1"/>
    <xf numFmtId="164" fontId="7" fillId="0" borderId="0" xfId="1" applyNumberFormat="1" applyFont="1" applyBorder="1"/>
    <xf numFmtId="164" fontId="7" fillId="0" borderId="6" xfId="1" applyNumberFormat="1" applyFont="1" applyBorder="1"/>
    <xf numFmtId="2" fontId="7" fillId="0" borderId="11" xfId="1" applyNumberFormat="1" applyFont="1" applyBorder="1"/>
    <xf numFmtId="2" fontId="7" fillId="0" borderId="12" xfId="1" applyNumberFormat="1" applyFont="1" applyBorder="1"/>
    <xf numFmtId="164" fontId="7" fillId="0" borderId="7" xfId="1" applyNumberFormat="1" applyFont="1" applyBorder="1"/>
    <xf numFmtId="10" fontId="6" fillId="0" borderId="1" xfId="1" applyNumberFormat="1" applyFont="1" applyBorder="1"/>
    <xf numFmtId="10" fontId="6" fillId="0" borderId="11" xfId="1" applyNumberFormat="1" applyFont="1" applyBorder="1"/>
    <xf numFmtId="164" fontId="8" fillId="0" borderId="4" xfId="1" applyNumberFormat="1" applyFont="1" applyBorder="1" applyAlignment="1">
      <alignment horizontal="right"/>
    </xf>
    <xf numFmtId="37" fontId="2" fillId="2" borderId="11" xfId="0" applyNumberFormat="1" applyFont="1" applyFill="1" applyBorder="1" applyAlignment="1">
      <alignment vertical="center"/>
    </xf>
    <xf numFmtId="0" fontId="2" fillId="2" borderId="1" xfId="1" applyNumberFormat="1" applyFont="1" applyFill="1" applyBorder="1" applyAlignment="1"/>
    <xf numFmtId="0" fontId="2" fillId="2" borderId="13" xfId="1" applyNumberFormat="1" applyFont="1" applyFill="1" applyBorder="1" applyAlignment="1"/>
    <xf numFmtId="164" fontId="3" fillId="0" borderId="6" xfId="1" applyNumberFormat="1" applyFont="1" applyBorder="1"/>
    <xf numFmtId="0" fontId="0" fillId="0" borderId="14" xfId="0" applyBorder="1"/>
    <xf numFmtId="164" fontId="5" fillId="0" borderId="4" xfId="1" applyNumberFormat="1" applyFont="1" applyBorder="1" applyAlignment="1">
      <alignment horizontal="left"/>
    </xf>
    <xf numFmtId="10" fontId="8" fillId="0" borderId="13" xfId="1" applyNumberFormat="1" applyFont="1" applyBorder="1"/>
    <xf numFmtId="10" fontId="8" fillId="0" borderId="14" xfId="1" applyNumberFormat="1" applyFont="1" applyBorder="1"/>
    <xf numFmtId="164" fontId="5" fillId="0" borderId="4" xfId="1" applyNumberFormat="1" applyFont="1" applyBorder="1"/>
    <xf numFmtId="10" fontId="6" fillId="0" borderId="13" xfId="1" applyNumberFormat="1" applyFont="1" applyBorder="1"/>
    <xf numFmtId="164" fontId="5" fillId="0" borderId="4" xfId="1" applyNumberFormat="1" applyFont="1" applyFill="1" applyBorder="1"/>
    <xf numFmtId="2" fontId="8" fillId="0" borderId="13" xfId="1" applyNumberFormat="1" applyFont="1" applyBorder="1"/>
    <xf numFmtId="2" fontId="8" fillId="0" borderId="14" xfId="1" applyNumberFormat="1" applyFont="1" applyBorder="1"/>
    <xf numFmtId="164" fontId="8" fillId="0" borderId="13" xfId="1" applyNumberFormat="1" applyFont="1" applyBorder="1"/>
    <xf numFmtId="164" fontId="8" fillId="0" borderId="14" xfId="1" applyNumberFormat="1" applyFont="1" applyBorder="1" applyAlignment="1">
      <alignment horizontal="right"/>
    </xf>
    <xf numFmtId="164" fontId="5" fillId="0" borderId="6" xfId="1" applyNumberFormat="1" applyFont="1" applyFill="1" applyBorder="1"/>
    <xf numFmtId="10" fontId="8" fillId="0" borderId="8" xfId="1" applyNumberFormat="1" applyFont="1" applyBorder="1"/>
    <xf numFmtId="164" fontId="6" fillId="0" borderId="2" xfId="1" applyNumberFormat="1" applyFont="1" applyBorder="1"/>
    <xf numFmtId="164" fontId="7" fillId="0" borderId="4" xfId="1" applyNumberFormat="1" applyFont="1" applyBorder="1"/>
    <xf numFmtId="164" fontId="8" fillId="0" borderId="2" xfId="1" applyNumberFormat="1" applyFont="1" applyBorder="1"/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3" fillId="3" borderId="0" xfId="0" applyFont="1" applyFill="1" applyAlignment="1">
      <alignment horizontal="left"/>
    </xf>
    <xf numFmtId="0" fontId="12" fillId="3" borderId="0" xfId="0" applyFont="1" applyFill="1"/>
    <xf numFmtId="164" fontId="3" fillId="0" borderId="11" xfId="0" applyNumberFormat="1" applyFont="1" applyBorder="1"/>
    <xf numFmtId="164" fontId="3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33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142874</xdr:colOff>
      <xdr:row>0</xdr:row>
      <xdr:rowOff>171450</xdr:rowOff>
    </xdr:from>
    <xdr:to>
      <xdr:col>3</xdr:col>
      <xdr:colOff>25529</xdr:colOff>
      <xdr:row>3</xdr:row>
      <xdr:rowOff>28575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C97D19-8011-EFC6-F84A-E7FC8ADFE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4" y="171450"/>
          <a:ext cx="1711455" cy="4286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 Nguyen" id="{C44259D0-522D-4E8B-A167-570A2D87A088}" userId="S::tim.nguyen@simonds.com.au::72366ed0-dba2-4203-90d1-91f42db14a1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6-04-20T06:11:55.54" personId="{C44259D0-522D-4E8B-A167-570A2D87A088}" id="{055D5F0C-0A02-43EA-950D-294DE5635375}">
    <text>= (Current Revenue / Prior Revenue) - 1</text>
  </threadedComment>
  <threadedComment ref="H4" dT="2026-04-21T13:27:45.87" personId="{C44259D0-522D-4E8B-A167-570A2D87A088}" id="{9642E61D-A12C-4FC2-9EE1-52ABBE0D2278}">
    <text>CAGR</text>
  </threadedComment>
  <threadedComment ref="B6" dT="2026-04-20T06:11:30.21" personId="{C44259D0-522D-4E8B-A167-570A2D87A088}" id="{C2BC33A5-D0C0-4E4B-9056-CDED9D1C7B83}">
    <text>= Gross Profit / Revenue</text>
  </threadedComment>
  <threadedComment ref="B7" dT="2026-04-20T12:25:56.54" personId="{C44259D0-522D-4E8B-A167-570A2D87A088}" id="{7DFCA7F6-9A3C-4057-B292-C36464C66DAF}">
    <text xml:space="preserve">= COGS / Revenue </text>
  </threadedComment>
  <threadedComment ref="B8" dT="2026-04-20T12:26:12.59" personId="{C44259D0-522D-4E8B-A167-570A2D87A088}" id="{13F13D2F-A08A-4111-A835-FE6FBD97ECB9}">
    <text xml:space="preserve">= SG&amp;A / Revenue </text>
  </threadedComment>
  <threadedComment ref="B9" dT="2026-04-20T12:26:33.59" personId="{C44259D0-522D-4E8B-A167-570A2D87A088}" id="{5B93EEC1-D378-4268-ACFA-5729897E4E79}">
    <text xml:space="preserve">= R&amp;D / Revenue </text>
  </threadedComment>
  <threadedComment ref="B10" dT="2026-04-20T12:26:39.65" personId="{C44259D0-522D-4E8B-A167-570A2D87A088}" id="{DA9B49CD-FA7F-4574-A934-93ED6001B351}">
    <text xml:space="preserve">= EBIT / Revenue </text>
  </threadedComment>
  <threadedComment ref="B11" dT="2026-04-20T12:26:48.35" personId="{C44259D0-522D-4E8B-A167-570A2D87A088}" id="{88DB0522-55D8-4812-B813-124BB1AFEA83}">
    <text xml:space="preserve">= Net Income / Revenue </text>
  </threadedComment>
  <threadedComment ref="B13" dT="2026-04-20T06:54:21.17" personId="{C44259D0-522D-4E8B-A167-570A2D87A088}" id="{D444E2BF-F590-40CF-954C-ED8B52E75058}">
    <text xml:space="preserve"> Taxes / EBT — nm (not meaningful) in loss years. Use statutory rate of 21% as forecast assumption 
= Taxes / EBT </text>
  </threadedComment>
  <threadedComment ref="B15" dT="2026-04-20T12:27:04.55" personId="{C44259D0-522D-4E8B-A167-570A2D87A088}" id="{EA8FA246-8764-48C3-8B1F-AA45006D8E47}">
    <text xml:space="preserve">= Capex / Revenue </text>
  </threadedComment>
  <threadedComment ref="B16" dT="2026-04-20T12:27:28.59" personId="{C44259D0-522D-4E8B-A167-570A2D87A088}" id="{A0EBDB2E-4E83-4F19-B476-BA22DEDFA8E7}">
    <text xml:space="preserve">= Capex / PP&amp;E </text>
  </threadedComment>
  <threadedComment ref="B17" dT="2026-04-20T12:27:32.69" personId="{C44259D0-522D-4E8B-A167-570A2D87A088}" id="{097CDB56-F2D4-4881-BC19-7EDB46F7A35B}">
    <text xml:space="preserve">= D&amp;A / Revenue </text>
  </threadedComment>
  <threadedComment ref="B19" dT="2026-04-20T12:27:37.61" personId="{C44259D0-522D-4E8B-A167-570A2D87A088}" id="{2FAB5614-E802-466C-B7F7-A7998FC509FF}">
    <text xml:space="preserve">= Accounts Receivable / Revenue × 365 </text>
  </threadedComment>
  <threadedComment ref="H19" dT="2026-04-21T13:41:03.84" personId="{C44259D0-522D-4E8B-A167-570A2D87A088}" id="{FCBF5430-CC16-4FA7-A328-F055805876BF}">
    <text>Using 5 Year Average</text>
  </threadedComment>
  <threadedComment ref="B20" dT="2026-04-20T12:27:42.01" personId="{C44259D0-522D-4E8B-A167-570A2D87A088}" id="{FD6A5B35-3131-4842-8F2D-3FB1F51BA0DC}">
    <text xml:space="preserve">= Inventory / COGS × 365 </text>
  </threadedComment>
  <threadedComment ref="H20" dT="2026-04-21T13:41:10.84" personId="{C44259D0-522D-4E8B-A167-570A2D87A088}" id="{0E7DD524-690B-4527-A530-CA5E1EA00D3F}">
    <text xml:space="preserve">Using 3 Year Average
</text>
  </threadedComment>
  <threadedComment ref="B21" dT="2026-04-20T12:27:49.83" personId="{C44259D0-522D-4E8B-A167-570A2D87A088}" id="{0D16BCCB-0174-46A1-AC59-A92F3BA51CAF}">
    <text xml:space="preserve">= Accounts Payable / COGS × 365 </text>
  </threadedComment>
  <threadedComment ref="H21" dT="2026-04-21T13:41:14.10" personId="{C44259D0-522D-4E8B-A167-570A2D87A088}" id="{7BF5A409-3B9B-4BF6-9926-A316C2332D1A}">
    <text xml:space="preserve">Using 5 Year Average
</text>
  </threadedComment>
  <threadedComment ref="B22" dT="2026-04-20T12:28:03.77" personId="{C44259D0-522D-4E8B-A167-570A2D87A088}" id="{B185F72E-53E4-443E-AD15-F5590811DD24}">
    <text xml:space="preserve">= Advances &amp; Progress Billings / Revenue </text>
  </threadedComment>
  <threadedComment ref="B24" dT="2026-04-20T10:45:24.00" personId="{C44259D0-522D-4E8B-A167-570A2D87A088}" id="{9D6FFE3E-6A80-4A18-BAE1-FF9B3DF7F127}">
    <text xml:space="preserve">Net Debt = Short-term Debt + Long-term Debt − Cash − Short-term Investments
</text>
  </threadedComment>
  <threadedComment ref="B25" dT="2026-04-20T11:05:41.99" personId="{C44259D0-522D-4E8B-A167-570A2D87A088}" id="{0ACD9A4E-A6CB-4807-A557-5CCDA362CE4D}">
    <text xml:space="preserve">nm = not meaningful in loss years where EBITA is negative </text>
  </threadedComment>
  <threadedComment ref="B26" dT="2026-04-20T11:10:34.12" personId="{C44259D0-522D-4E8B-A167-570A2D87A088}" id="{2F685951-B4C8-4575-98BE-C71E921F6006}">
    <text xml:space="preserve">nm = not meaningful in loss years where EBITA is negative 
</text>
  </threadedComment>
  <threadedComment ref="B27" dT="2026-04-20T12:28:11.45" personId="{C44259D0-522D-4E8B-A167-570A2D87A088}" id="{735ECB3F-6B00-471D-B528-CF78FA9D8DCB}">
    <text xml:space="preserve">= Interest Expense / Total Debt </text>
  </threadedComment>
  <threadedComment ref="H27" dT="2026-04-25T05:57:40.86" personId="{C44259D0-522D-4E8B-A167-570A2D87A088}" id="{723A0937-6AEF-49F9-A01F-764A700BA8DF}">
    <text>Using 3 Year Average</text>
  </threadedComment>
  <threadedComment ref="H39" dT="2026-04-22T11:42:26.59" personId="{C44259D0-522D-4E8B-A167-570A2D87A088}" id="{E020734A-44B8-41B1-9F60-59BA644A2BE0}">
    <text>Using 3 Year Average</text>
  </threadedComment>
  <threadedComment ref="H48" dT="2026-04-22T12:01:08.82" personId="{C44259D0-522D-4E8B-A167-570A2D87A088}" id="{BF7762D6-2D19-4E5A-A42F-48F1758CDBF9}">
    <text xml:space="preserve">"Fixed annual dividend of $345M based on Boeing's 6.00% Series A Mandatory Convertible Preferred Stock issued October 2024. Calculated as $5,750M liquidation preference × 6.00% dividend rate. Mandatory conversion to common shares on or about October 15, 2027. 2027E reflects approximately half year dividend (~$173M) and zero thereafter." </text>
  </threadedComment>
  <threadedComment ref="I48" dT="2026-04-22T12:01:17.84" personId="{C44259D0-522D-4E8B-A167-570A2D87A088}" id="{BD0AADAC-A367-4E56-B134-8D85E5D1F39A}">
    <text xml:space="preserve">"Fixed annual dividend of $345M based on Boeing's 6.00% Series A Mandatory Convertible Preferred Stock issued October 2024. Calculated as $5,750M liquidation preference × 6.00% dividend rate. Mandatory conversion to common shares on or about October 15, 2027. 2027E reflects approximately half year dividend (~$173M) and zero thereafter." </text>
  </threadedComment>
  <threadedComment ref="B50" dT="2026-04-20T11:23:37.43" personId="{C44259D0-522D-4E8B-A167-570A2D87A088}" id="{8408FF94-C482-4CF7-B3B6-E64B1A7C83FA}">
    <text xml:space="preserve">Disclosed as basic weighted average common shares outstanding in the EPS footnote of the 10-K </text>
  </threadedComment>
  <threadedComment ref="B52" dT="2026-04-20T11:23:42.11" personId="{C44259D0-522D-4E8B-A167-570A2D87A088}" id="{D28620DE-7806-4031-A94C-5A70B9745900}">
    <text xml:space="preserve">Disclosed as diluted weighted average common shares outstanding in the EPS footnote of the 10-K 
</text>
  </threadedComment>
  <threadedComment ref="B103" dT="2026-04-20T03:26:43.70" personId="{C44259D0-522D-4E8B-A167-570A2D87A088}" id="{DF0D4C79-7457-440F-B77D-C897944542A1}">
    <text>777X and 787 Reach Forward Losses in 2021</text>
  </threadedComment>
  <threadedComment ref="B119" dT="2026-04-20T08:39:06.63" personId="{C44259D0-522D-4E8B-A167-570A2D87A088}" id="{3406BCD8-C23B-47A2-8911-97DD0FF0B2D2}">
    <text>Payments to Acquire Property, Plant and Equipment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893F3-07B6-4D14-B60E-5605CD0CD4D1}">
  <dimension ref="B1:H11"/>
  <sheetViews>
    <sheetView showGridLines="0" workbookViewId="0">
      <selection activeCell="Q14" sqref="Q14"/>
    </sheetView>
  </sheetViews>
  <sheetFormatPr defaultRowHeight="15" x14ac:dyDescent="0.25"/>
  <cols>
    <col min="1" max="1" width="9.140625" customWidth="1"/>
    <col min="4" max="4" width="9.140625" customWidth="1"/>
  </cols>
  <sheetData>
    <row r="1" spans="2:8" s="61" customFormat="1" x14ac:dyDescent="0.25"/>
    <row r="2" spans="2:8" s="61" customFormat="1" x14ac:dyDescent="0.25"/>
    <row r="3" spans="2:8" s="59" customFormat="1" ht="15" customHeight="1" x14ac:dyDescent="0.25">
      <c r="B3" s="109" t="s">
        <v>129</v>
      </c>
      <c r="C3" s="109"/>
      <c r="D3" s="109"/>
      <c r="E3" s="109"/>
      <c r="F3" s="109"/>
      <c r="G3" s="109"/>
      <c r="H3" s="109"/>
    </row>
    <row r="4" spans="2:8" s="59" customFormat="1" ht="15" customHeight="1" x14ac:dyDescent="0.25">
      <c r="B4" s="109"/>
      <c r="C4" s="109"/>
      <c r="D4" s="109"/>
      <c r="E4" s="109"/>
      <c r="F4" s="109"/>
      <c r="G4" s="109"/>
      <c r="H4" s="109"/>
    </row>
    <row r="5" spans="2:8" s="59" customFormat="1" ht="15" customHeight="1" x14ac:dyDescent="0.25">
      <c r="B5" s="109"/>
      <c r="C5" s="109"/>
      <c r="D5" s="109"/>
      <c r="E5" s="109"/>
      <c r="F5" s="109"/>
      <c r="G5" s="109"/>
      <c r="H5" s="109"/>
    </row>
    <row r="6" spans="2:8" s="59" customFormat="1" ht="15" customHeight="1" x14ac:dyDescent="0.25">
      <c r="B6" s="109"/>
      <c r="C6" s="109"/>
      <c r="D6" s="109"/>
      <c r="E6" s="109"/>
      <c r="F6" s="109"/>
      <c r="G6" s="109"/>
      <c r="H6" s="109"/>
    </row>
    <row r="7" spans="2:8" s="59" customFormat="1" x14ac:dyDescent="0.25">
      <c r="B7" s="108" t="s">
        <v>130</v>
      </c>
      <c r="C7" s="108"/>
      <c r="D7" s="108"/>
      <c r="E7" s="108"/>
      <c r="F7" s="108"/>
      <c r="G7" s="108"/>
      <c r="H7" s="108"/>
    </row>
    <row r="8" spans="2:8" s="59" customFormat="1" x14ac:dyDescent="0.25">
      <c r="B8" s="60"/>
      <c r="C8" s="60"/>
      <c r="D8" s="60"/>
      <c r="E8" s="60"/>
      <c r="F8" s="60"/>
      <c r="G8" s="60"/>
      <c r="H8" s="60"/>
    </row>
    <row r="10" spans="2:8" x14ac:dyDescent="0.25">
      <c r="B10" s="105" t="s">
        <v>131</v>
      </c>
      <c r="C10" s="105"/>
      <c r="D10" s="105" t="s">
        <v>132</v>
      </c>
      <c r="E10" s="105"/>
    </row>
    <row r="11" spans="2:8" x14ac:dyDescent="0.25">
      <c r="B11" s="105" t="s">
        <v>133</v>
      </c>
      <c r="C11" s="105"/>
      <c r="D11" s="106">
        <f ca="1">TODAY()</f>
        <v>46137</v>
      </c>
      <c r="E11" s="107"/>
    </row>
  </sheetData>
  <mergeCells count="6">
    <mergeCell ref="B11:C11"/>
    <mergeCell ref="D11:E11"/>
    <mergeCell ref="B7:H7"/>
    <mergeCell ref="B3:H6"/>
    <mergeCell ref="B10:C10"/>
    <mergeCell ref="D10:E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12991-E7C1-464F-8C4C-AEB74938335E}">
  <dimension ref="B2:L145"/>
  <sheetViews>
    <sheetView showGridLines="0" tabSelected="1" topLeftCell="A103" zoomScaleNormal="100" workbookViewId="0">
      <selection activeCell="H130" sqref="H130"/>
    </sheetView>
  </sheetViews>
  <sheetFormatPr defaultRowHeight="15" x14ac:dyDescent="0.25"/>
  <cols>
    <col min="2" max="2" width="55.85546875" bestFit="1" customWidth="1"/>
    <col min="3" max="12" width="17.140625" customWidth="1"/>
    <col min="13" max="14" width="14.28515625" customWidth="1"/>
  </cols>
  <sheetData>
    <row r="2" spans="2:12" ht="15.75" x14ac:dyDescent="0.3">
      <c r="B2" s="85" t="s">
        <v>90</v>
      </c>
      <c r="C2" s="86">
        <v>2021</v>
      </c>
      <c r="D2" s="86">
        <f>+C2+1</f>
        <v>2022</v>
      </c>
      <c r="E2" s="86">
        <f>+D2+1</f>
        <v>2023</v>
      </c>
      <c r="F2" s="86">
        <f>+E2+1</f>
        <v>2024</v>
      </c>
      <c r="G2" s="87">
        <f>+F2+1</f>
        <v>2025</v>
      </c>
      <c r="H2" s="87">
        <f t="shared" ref="H2:L2" si="0">+G2+1</f>
        <v>2026</v>
      </c>
      <c r="I2" s="87">
        <f t="shared" si="0"/>
        <v>2027</v>
      </c>
      <c r="J2" s="87">
        <f t="shared" si="0"/>
        <v>2028</v>
      </c>
      <c r="K2" s="87">
        <f t="shared" si="0"/>
        <v>2029</v>
      </c>
      <c r="L2" s="87">
        <f t="shared" si="0"/>
        <v>2030</v>
      </c>
    </row>
    <row r="3" spans="2:12" ht="15.75" x14ac:dyDescent="0.3">
      <c r="B3" s="88" t="s">
        <v>91</v>
      </c>
      <c r="C3" s="24"/>
      <c r="D3" s="24"/>
      <c r="E3" s="24"/>
      <c r="F3" s="24"/>
      <c r="G3" s="25"/>
      <c r="L3" s="89"/>
    </row>
    <row r="4" spans="2:12" ht="15.75" x14ac:dyDescent="0.3">
      <c r="B4" s="90" t="s">
        <v>92</v>
      </c>
      <c r="C4" s="48">
        <v>0</v>
      </c>
      <c r="D4" s="49">
        <f>D31/C31 - 1</f>
        <v>6.9389589956009301E-2</v>
      </c>
      <c r="E4" s="49">
        <f t="shared" ref="E4:G4" si="1">E31/D31 - 1</f>
        <v>0.16793778525102088</v>
      </c>
      <c r="F4" s="49">
        <f t="shared" si="1"/>
        <v>-0.14495976553461709</v>
      </c>
      <c r="G4" s="49">
        <f t="shared" si="1"/>
        <v>0.34496444517942781</v>
      </c>
      <c r="H4" s="64">
        <f>RATE(4,0,-C$31,G$31)</f>
        <v>9.4745715087468374E-2</v>
      </c>
      <c r="I4" s="63">
        <f t="shared" ref="I4:L4" si="2">RATE(4,0,-D$31,H$31)</f>
        <v>0.10117813507092933</v>
      </c>
      <c r="J4" s="63">
        <f t="shared" si="2"/>
        <v>8.5093213045376759E-2</v>
      </c>
      <c r="K4" s="63">
        <f t="shared" si="2"/>
        <v>0.15169417708959537</v>
      </c>
      <c r="L4" s="91">
        <f t="shared" si="2"/>
        <v>0.1078826544922996</v>
      </c>
    </row>
    <row r="5" spans="2:12" ht="15.75" x14ac:dyDescent="0.3">
      <c r="B5" s="88" t="s">
        <v>93</v>
      </c>
      <c r="C5" s="17"/>
      <c r="D5" s="17"/>
      <c r="E5" s="17"/>
      <c r="F5" s="17"/>
      <c r="G5" s="17"/>
      <c r="H5" s="62"/>
      <c r="I5" s="49"/>
      <c r="J5" s="49"/>
      <c r="K5" s="49"/>
      <c r="L5" s="92"/>
    </row>
    <row r="6" spans="2:12" ht="15.75" x14ac:dyDescent="0.3">
      <c r="B6" s="93" t="s">
        <v>94</v>
      </c>
      <c r="C6" s="49">
        <f>C33/C31</f>
        <v>4.8951610313714158E-2</v>
      </c>
      <c r="D6" s="49">
        <f t="shared" ref="D6:F6" si="3">D33/D31</f>
        <v>5.2996637040595727E-2</v>
      </c>
      <c r="E6" s="49">
        <f t="shared" si="3"/>
        <v>9.9287862817183839E-2</v>
      </c>
      <c r="F6" s="49">
        <f t="shared" si="3"/>
        <v>-2.9932197784025137E-2</v>
      </c>
      <c r="G6" s="49">
        <f>G33/G31</f>
        <v>4.7941607144853182E-2</v>
      </c>
      <c r="H6" s="64">
        <f>H33/H31</f>
        <v>4.7941607144853196E-2</v>
      </c>
      <c r="I6" s="63">
        <f t="shared" ref="I6:L6" si="4">I33/I31</f>
        <v>4.7941607144853238E-2</v>
      </c>
      <c r="J6" s="63">
        <f t="shared" si="4"/>
        <v>4.7941607144853161E-2</v>
      </c>
      <c r="K6" s="63">
        <f t="shared" si="4"/>
        <v>4.7941607144853168E-2</v>
      </c>
      <c r="L6" s="91">
        <f t="shared" si="4"/>
        <v>4.7941607144853189E-2</v>
      </c>
    </row>
    <row r="7" spans="2:12" ht="15.75" x14ac:dyDescent="0.3">
      <c r="B7" s="93" t="s">
        <v>95</v>
      </c>
      <c r="C7" s="49">
        <f>C32/C31</f>
        <v>0.9510483896862858</v>
      </c>
      <c r="D7" s="49">
        <f t="shared" ref="D7:L7" si="5">D32/D31</f>
        <v>0.94700336295940424</v>
      </c>
      <c r="E7" s="49">
        <f t="shared" si="5"/>
        <v>0.90071213718281617</v>
      </c>
      <c r="F7" s="49">
        <f t="shared" si="5"/>
        <v>1.0299321977840252</v>
      </c>
      <c r="G7" s="49">
        <f t="shared" si="5"/>
        <v>0.95205839285514682</v>
      </c>
      <c r="H7" s="62">
        <f t="shared" si="5"/>
        <v>0.95205839285514682</v>
      </c>
      <c r="I7" s="49">
        <f t="shared" si="5"/>
        <v>0.95205839285514682</v>
      </c>
      <c r="J7" s="49">
        <f t="shared" si="5"/>
        <v>0.95205839285514682</v>
      </c>
      <c r="K7" s="49">
        <f t="shared" si="5"/>
        <v>0.95205839285514682</v>
      </c>
      <c r="L7" s="92">
        <f t="shared" si="5"/>
        <v>0.95205839285514682</v>
      </c>
    </row>
    <row r="8" spans="2:12" ht="15.75" x14ac:dyDescent="0.3">
      <c r="B8" s="93" t="s">
        <v>97</v>
      </c>
      <c r="C8" s="49">
        <f>C35/C31</f>
        <v>6.67405195389012E-2</v>
      </c>
      <c r="D8" s="49">
        <f t="shared" ref="D8:L8" si="6">D35/D31</f>
        <v>6.2860317079029546E-2</v>
      </c>
      <c r="E8" s="49">
        <f t="shared" si="6"/>
        <v>6.6431858498084681E-2</v>
      </c>
      <c r="F8" s="49">
        <f t="shared" si="6"/>
        <v>7.5484462618578704E-2</v>
      </c>
      <c r="G8" s="49">
        <f t="shared" si="6"/>
        <v>6.8072834579658625E-2</v>
      </c>
      <c r="H8" s="62">
        <f t="shared" si="6"/>
        <v>6.8072834579658625E-2</v>
      </c>
      <c r="I8" s="49">
        <f t="shared" si="6"/>
        <v>6.8072834579658625E-2</v>
      </c>
      <c r="J8" s="49">
        <f t="shared" si="6"/>
        <v>6.8072834579658625E-2</v>
      </c>
      <c r="K8" s="49">
        <f t="shared" si="6"/>
        <v>6.8072834579658625E-2</v>
      </c>
      <c r="L8" s="92">
        <f t="shared" si="6"/>
        <v>6.8072834579658625E-2</v>
      </c>
    </row>
    <row r="9" spans="2:12" ht="15.75" x14ac:dyDescent="0.3">
      <c r="B9" s="93" t="s">
        <v>96</v>
      </c>
      <c r="C9" s="49">
        <f>C36/C31</f>
        <v>3.6107632533795717E-2</v>
      </c>
      <c r="D9" s="49">
        <f t="shared" ref="D9:L9" si="7">D36/D31</f>
        <v>4.2817679558011051E-2</v>
      </c>
      <c r="E9" s="49">
        <f t="shared" si="7"/>
        <v>4.3409517443504637E-2</v>
      </c>
      <c r="F9" s="49">
        <f t="shared" si="7"/>
        <v>5.730865793706872E-2</v>
      </c>
      <c r="G9" s="49">
        <f t="shared" si="7"/>
        <v>4.0407766339156971E-2</v>
      </c>
      <c r="H9" s="62">
        <f t="shared" si="7"/>
        <v>4.0407766339156971E-2</v>
      </c>
      <c r="I9" s="49">
        <f t="shared" si="7"/>
        <v>4.0407766339156971E-2</v>
      </c>
      <c r="J9" s="49">
        <f t="shared" si="7"/>
        <v>4.0407766339156971E-2</v>
      </c>
      <c r="K9" s="49">
        <f t="shared" si="7"/>
        <v>4.0407766339156971E-2</v>
      </c>
      <c r="L9" s="92">
        <f t="shared" si="7"/>
        <v>4.0407766339156971E-2</v>
      </c>
    </row>
    <row r="10" spans="2:12" ht="15.75" x14ac:dyDescent="0.3">
      <c r="B10" s="93" t="s">
        <v>98</v>
      </c>
      <c r="C10" s="49">
        <f>C38/C31</f>
        <v>-5.3896541758982758E-2</v>
      </c>
      <c r="D10" s="49">
        <f t="shared" ref="D10:L10" si="8">D38/D31</f>
        <v>-5.268135959644487E-2</v>
      </c>
      <c r="E10" s="49">
        <f t="shared" si="8"/>
        <v>-1.0553513124405481E-2</v>
      </c>
      <c r="F10" s="49">
        <f t="shared" si="8"/>
        <v>-0.16272531833967258</v>
      </c>
      <c r="G10" s="49">
        <f t="shared" si="8"/>
        <v>-6.0538993773962421E-2</v>
      </c>
      <c r="H10" s="62">
        <f t="shared" si="8"/>
        <v>-6.0538993773962407E-2</v>
      </c>
      <c r="I10" s="49">
        <f t="shared" si="8"/>
        <v>-6.0538993773962359E-2</v>
      </c>
      <c r="J10" s="49">
        <f t="shared" si="8"/>
        <v>-6.0538993773962442E-2</v>
      </c>
      <c r="K10" s="49">
        <f t="shared" si="8"/>
        <v>-6.0538993773962421E-2</v>
      </c>
      <c r="L10" s="92">
        <f t="shared" si="8"/>
        <v>-6.0538993773962407E-2</v>
      </c>
    </row>
    <row r="11" spans="2:12" ht="15.75" x14ac:dyDescent="0.3">
      <c r="B11" s="93" t="s">
        <v>99</v>
      </c>
      <c r="C11" s="49">
        <f t="shared" ref="C11:H11" si="9">C45/C31</f>
        <v>-6.8875830844812636E-2</v>
      </c>
      <c r="D11" s="49">
        <f t="shared" si="9"/>
        <v>-7.5861758347345667E-2</v>
      </c>
      <c r="E11" s="49">
        <f t="shared" si="9"/>
        <v>-2.8819703319022033E-2</v>
      </c>
      <c r="F11" s="49">
        <f t="shared" si="9"/>
        <v>-0.17783423786400468</v>
      </c>
      <c r="G11" s="49">
        <f t="shared" si="9"/>
        <v>2.5015928372623321E-2</v>
      </c>
      <c r="H11" s="62">
        <f t="shared" si="9"/>
        <v>-3.7834439949919807E-2</v>
      </c>
      <c r="I11" s="49">
        <f t="shared" ref="I11:L11" si="10">I45/I31</f>
        <v>-3.8836295262623728E-2</v>
      </c>
      <c r="J11" s="49">
        <f t="shared" si="10"/>
        <v>-3.9689268613569931E-2</v>
      </c>
      <c r="K11" s="49">
        <f t="shared" si="10"/>
        <v>-4.0652924184757362E-2</v>
      </c>
      <c r="L11" s="92">
        <f t="shared" si="10"/>
        <v>-4.1377744912531003E-2</v>
      </c>
    </row>
    <row r="12" spans="2:12" ht="15.75" x14ac:dyDescent="0.3">
      <c r="B12" s="88" t="s">
        <v>100</v>
      </c>
      <c r="C12" s="50"/>
      <c r="D12" s="50"/>
      <c r="E12" s="50"/>
      <c r="F12" s="50"/>
      <c r="G12" s="50"/>
      <c r="H12" s="62"/>
      <c r="I12" s="49"/>
      <c r="J12" s="49"/>
      <c r="K12" s="49"/>
      <c r="L12" s="92"/>
    </row>
    <row r="13" spans="2:12" ht="15.75" x14ac:dyDescent="0.3">
      <c r="B13" s="93" t="s">
        <v>101</v>
      </c>
      <c r="C13" s="48">
        <v>0</v>
      </c>
      <c r="D13" s="48">
        <v>0</v>
      </c>
      <c r="E13" s="48">
        <v>0</v>
      </c>
      <c r="F13" s="48">
        <v>0</v>
      </c>
      <c r="G13" s="63">
        <f>G44/G43</f>
        <v>0.15066413662239089</v>
      </c>
      <c r="H13" s="83">
        <v>0.21</v>
      </c>
      <c r="I13" s="82">
        <v>0.21</v>
      </c>
      <c r="J13" s="82">
        <v>0.21</v>
      </c>
      <c r="K13" s="82">
        <v>0.21</v>
      </c>
      <c r="L13" s="94">
        <v>0.21</v>
      </c>
    </row>
    <row r="14" spans="2:12" ht="15.75" x14ac:dyDescent="0.3">
      <c r="B14" s="88" t="s">
        <v>56</v>
      </c>
      <c r="C14" s="50"/>
      <c r="D14" s="50"/>
      <c r="E14" s="50"/>
      <c r="F14" s="50"/>
      <c r="G14" s="50"/>
      <c r="H14" s="62"/>
      <c r="I14" s="49"/>
      <c r="J14" s="49"/>
      <c r="K14" s="49"/>
      <c r="L14" s="92"/>
    </row>
    <row r="15" spans="2:12" ht="15.75" x14ac:dyDescent="0.3">
      <c r="B15" s="93" t="s">
        <v>102</v>
      </c>
      <c r="C15" s="49">
        <f>C119/C31</f>
        <v>-1.5733872780400091E-2</v>
      </c>
      <c r="D15" s="49">
        <f t="shared" ref="D15:G15" si="11">D119/D31</f>
        <v>-1.8346144607254384E-2</v>
      </c>
      <c r="E15" s="49">
        <f t="shared" si="11"/>
        <v>-1.9628763143687174E-2</v>
      </c>
      <c r="F15" s="49">
        <f t="shared" si="11"/>
        <v>-3.3525264218169794E-2</v>
      </c>
      <c r="G15" s="49">
        <f t="shared" si="11"/>
        <v>-3.2885103338810458E-2</v>
      </c>
      <c r="H15" s="64"/>
      <c r="I15" s="63"/>
      <c r="J15" s="63"/>
      <c r="K15" s="63"/>
      <c r="L15" s="91"/>
    </row>
    <row r="16" spans="2:12" ht="15.75" x14ac:dyDescent="0.3">
      <c r="B16" s="93" t="s">
        <v>103</v>
      </c>
      <c r="C16" s="49">
        <f>C119/C65</f>
        <v>-8.9760029309397332E-2</v>
      </c>
      <c r="D16" s="49">
        <f t="shared" ref="D16:G16" si="12">D119/D65</f>
        <v>-0.11582938388625592</v>
      </c>
      <c r="E16" s="49">
        <f t="shared" si="12"/>
        <v>-0.14323234218178407</v>
      </c>
      <c r="F16" s="49">
        <f t="shared" si="12"/>
        <v>-0.19540834209603924</v>
      </c>
      <c r="G16" s="49">
        <f t="shared" si="12"/>
        <v>-0.19152398932361175</v>
      </c>
      <c r="H16" s="62"/>
      <c r="I16" s="49"/>
      <c r="J16" s="49"/>
      <c r="K16" s="49"/>
      <c r="L16" s="92"/>
    </row>
    <row r="17" spans="2:12" ht="15.75" x14ac:dyDescent="0.3">
      <c r="B17" s="93" t="s">
        <v>104</v>
      </c>
      <c r="C17" s="49">
        <f>C99/C31</f>
        <v>3.4421860450181418E-2</v>
      </c>
      <c r="D17" s="49">
        <f t="shared" ref="D17:G17" si="13">D99/D31</f>
        <v>2.9711145808311315E-2</v>
      </c>
      <c r="E17" s="49">
        <f t="shared" si="13"/>
        <v>2.3922153379438003E-2</v>
      </c>
      <c r="F17" s="49">
        <f t="shared" si="13"/>
        <v>2.7601966414600779E-2</v>
      </c>
      <c r="G17" s="49">
        <f t="shared" si="13"/>
        <v>2.1830253847959492E-2</v>
      </c>
      <c r="H17" s="62"/>
      <c r="I17" s="49"/>
      <c r="J17" s="49"/>
      <c r="K17" s="49"/>
      <c r="L17" s="92"/>
    </row>
    <row r="18" spans="2:12" ht="17.25" x14ac:dyDescent="0.4">
      <c r="B18" s="88" t="s">
        <v>105</v>
      </c>
      <c r="C18" s="51"/>
      <c r="D18" s="51"/>
      <c r="E18" s="51"/>
      <c r="F18" s="51"/>
      <c r="G18" s="51"/>
      <c r="H18" s="62"/>
      <c r="I18" s="49"/>
      <c r="J18" s="49"/>
      <c r="K18" s="49"/>
      <c r="L18" s="92"/>
    </row>
    <row r="19" spans="2:12" ht="15.75" x14ac:dyDescent="0.3">
      <c r="B19" s="95" t="s">
        <v>106</v>
      </c>
      <c r="C19" s="65">
        <f>C58/C31 * 365</f>
        <v>15.476431300773848</v>
      </c>
      <c r="D19" s="65">
        <f t="shared" ref="D19:G19" si="14">D58/D31 * 365</f>
        <v>13.792712587076627</v>
      </c>
      <c r="E19" s="65">
        <f t="shared" si="14"/>
        <v>12.428786281718386</v>
      </c>
      <c r="F19" s="65">
        <f t="shared" si="14"/>
        <v>14.437136371153239</v>
      </c>
      <c r="G19" s="65">
        <f t="shared" si="14"/>
        <v>11.917384840660384</v>
      </c>
      <c r="H19" s="68">
        <f>AVERAGE(C19:G19)</f>
        <v>13.610490276276497</v>
      </c>
      <c r="I19" s="66">
        <f t="shared" ref="I19:L19" si="15">AVERAGE(D19:H19)</f>
        <v>13.237302071377027</v>
      </c>
      <c r="J19" s="66">
        <f t="shared" si="15"/>
        <v>13.126219968237105</v>
      </c>
      <c r="K19" s="66">
        <f t="shared" si="15"/>
        <v>13.26570670554085</v>
      </c>
      <c r="L19" s="96">
        <f t="shared" si="15"/>
        <v>13.031420772418375</v>
      </c>
    </row>
    <row r="20" spans="2:12" ht="15.75" x14ac:dyDescent="0.3">
      <c r="B20" s="95" t="s">
        <v>107</v>
      </c>
      <c r="C20" s="65">
        <f>C61/C32 *365</f>
        <v>485.68285024562351</v>
      </c>
      <c r="D20" s="65">
        <f t="shared" ref="D20:G20" si="16">D61/D32 *365</f>
        <v>452.21971210247631</v>
      </c>
      <c r="E20" s="65">
        <f t="shared" si="16"/>
        <v>415.37698016269445</v>
      </c>
      <c r="F20" s="65">
        <f t="shared" si="16"/>
        <v>466.45282302796755</v>
      </c>
      <c r="G20" s="65">
        <f t="shared" si="16"/>
        <v>362.87875407988355</v>
      </c>
      <c r="H20" s="67">
        <f>AVERAGE(E20:G20)</f>
        <v>414.90285242351518</v>
      </c>
      <c r="I20" s="65">
        <f t="shared" ref="I20:L20" si="17">AVERAGE(F20:H20)</f>
        <v>414.74480984378874</v>
      </c>
      <c r="J20" s="65">
        <f t="shared" si="17"/>
        <v>397.50880544906249</v>
      </c>
      <c r="K20" s="65">
        <f t="shared" si="17"/>
        <v>409.05215590545549</v>
      </c>
      <c r="L20" s="97">
        <f t="shared" si="17"/>
        <v>407.10192373276891</v>
      </c>
    </row>
    <row r="21" spans="2:12" ht="15.75" x14ac:dyDescent="0.3">
      <c r="B21" s="95" t="s">
        <v>108</v>
      </c>
      <c r="C21" s="65">
        <f>C72/C32 *365</f>
        <v>57.063406316997828</v>
      </c>
      <c r="D21" s="65">
        <f t="shared" ref="D21:G21" si="18">D72/D32 *365</f>
        <v>59.022163036240848</v>
      </c>
      <c r="E21" s="65">
        <f t="shared" si="18"/>
        <v>62.321392892821464</v>
      </c>
      <c r="F21" s="65">
        <f t="shared" si="18"/>
        <v>60.545629707479421</v>
      </c>
      <c r="G21" s="65">
        <f t="shared" si="18"/>
        <v>56.176591448094491</v>
      </c>
      <c r="H21" s="67">
        <f t="shared" ref="H21:L21" si="19">AVERAGE(C21:G21)</f>
        <v>59.025836680326805</v>
      </c>
      <c r="I21" s="65">
        <f t="shared" si="19"/>
        <v>59.418322752992609</v>
      </c>
      <c r="J21" s="65">
        <f t="shared" si="19"/>
        <v>59.497554696342959</v>
      </c>
      <c r="K21" s="65">
        <f t="shared" si="19"/>
        <v>58.932787057047257</v>
      </c>
      <c r="L21" s="97">
        <f t="shared" si="19"/>
        <v>58.610218526960828</v>
      </c>
    </row>
    <row r="22" spans="2:12" ht="15.75" x14ac:dyDescent="0.3">
      <c r="B22" s="95" t="s">
        <v>125</v>
      </c>
      <c r="C22" s="49">
        <f>C74/C31</f>
        <v>0.85059242847509875</v>
      </c>
      <c r="D22" s="49">
        <f t="shared" ref="D22:G22" si="20">D74/D31</f>
        <v>0.79691628633197209</v>
      </c>
      <c r="E22" s="49">
        <f t="shared" si="20"/>
        <v>0.72406612335141529</v>
      </c>
      <c r="F22" s="49">
        <f t="shared" si="20"/>
        <v>0.90703128523535337</v>
      </c>
      <c r="G22" s="49">
        <f t="shared" si="20"/>
        <v>0.66400634899343858</v>
      </c>
      <c r="H22" s="62"/>
      <c r="I22" s="49"/>
      <c r="J22" s="49"/>
      <c r="K22" s="49"/>
      <c r="L22" s="92"/>
    </row>
    <row r="23" spans="2:12" ht="15.75" x14ac:dyDescent="0.3">
      <c r="B23" s="88" t="s">
        <v>109</v>
      </c>
      <c r="C23" s="49"/>
      <c r="D23" s="49"/>
      <c r="E23" s="49"/>
      <c r="F23" s="49"/>
      <c r="G23" s="49"/>
      <c r="H23" s="62"/>
      <c r="I23" s="49"/>
      <c r="J23" s="49"/>
      <c r="K23" s="49"/>
      <c r="L23" s="92"/>
    </row>
    <row r="24" spans="2:12" ht="15.75" x14ac:dyDescent="0.3">
      <c r="B24" s="95" t="s">
        <v>110</v>
      </c>
      <c r="C24" s="52">
        <f>C81+C75-C56-C57</f>
        <v>41858</v>
      </c>
      <c r="D24" s="52">
        <f t="shared" ref="D24:G24" si="21">D81+D75-D56-D57</f>
        <v>39781</v>
      </c>
      <c r="E24" s="52">
        <f t="shared" si="21"/>
        <v>36342</v>
      </c>
      <c r="F24" s="52">
        <f t="shared" si="21"/>
        <v>27582</v>
      </c>
      <c r="G24" s="52">
        <f t="shared" si="21"/>
        <v>24698</v>
      </c>
      <c r="H24" s="71">
        <f>AVERAGE(E24:G24)</f>
        <v>29540.666666666668</v>
      </c>
      <c r="I24" s="52">
        <f t="shared" ref="I24:L24" si="22">AVERAGE(F24:H24)</f>
        <v>27273.555555555558</v>
      </c>
      <c r="J24" s="52">
        <f t="shared" si="22"/>
        <v>27170.740740740745</v>
      </c>
      <c r="K24" s="52">
        <f t="shared" si="22"/>
        <v>27994.987654320994</v>
      </c>
      <c r="L24" s="98">
        <f t="shared" si="22"/>
        <v>27479.761316872435</v>
      </c>
    </row>
    <row r="25" spans="2:12" ht="15.75" x14ac:dyDescent="0.3">
      <c r="B25" s="95" t="s">
        <v>111</v>
      </c>
      <c r="C25" s="53" t="str">
        <f t="shared" ref="C25:D25" si="23">IF(C24/(C38+C99)&lt;0,"nm",C24/(C38+C99))</f>
        <v>nm</v>
      </c>
      <c r="D25" s="53" t="str">
        <f t="shared" si="23"/>
        <v>nm</v>
      </c>
      <c r="E25" s="53">
        <f>IF(E24/(E38+E99)&lt;0,"nm",E24/(E38+E99))</f>
        <v>34.944230769230771</v>
      </c>
      <c r="F25" s="53" t="str">
        <f t="shared" ref="F25" si="24">IF(F24/(F38+F99)&lt;0,"nm",F24/(F38+F99))</f>
        <v>nm</v>
      </c>
      <c r="G25" s="53" t="str">
        <f t="shared" ref="G25" si="25">IF(G24/(G38+G99)&lt;0,"nm",G24/(G38+G99))</f>
        <v>nm</v>
      </c>
      <c r="H25" s="84"/>
      <c r="I25" s="53"/>
      <c r="J25" s="53"/>
      <c r="K25" s="53"/>
      <c r="L25" s="99"/>
    </row>
    <row r="26" spans="2:12" ht="15.75" x14ac:dyDescent="0.3">
      <c r="B26" s="95" t="s">
        <v>112</v>
      </c>
      <c r="C26" s="53" t="str">
        <f>IF(C42/(C81+C75)&lt;0,"nm",C42/(C81+C75))</f>
        <v>nm</v>
      </c>
      <c r="D26" s="53" t="str">
        <f t="shared" ref="D26:G26" si="26">IF(D42/(D81+D75)&lt;0,"nm",D42/(D81+D75))</f>
        <v>nm</v>
      </c>
      <c r="E26" s="53" t="str">
        <f t="shared" si="26"/>
        <v>nm</v>
      </c>
      <c r="F26" s="53" t="str">
        <f t="shared" si="26"/>
        <v>nm</v>
      </c>
      <c r="G26" s="53" t="str">
        <f t="shared" si="26"/>
        <v>nm</v>
      </c>
      <c r="H26" s="62"/>
      <c r="I26" s="49"/>
      <c r="J26" s="49"/>
      <c r="K26" s="49"/>
      <c r="L26" s="92"/>
    </row>
    <row r="27" spans="2:12" ht="15.75" x14ac:dyDescent="0.3">
      <c r="B27" s="100" t="s">
        <v>113</v>
      </c>
      <c r="C27" s="58">
        <f>C42/(C75+C81)</f>
        <v>-4.6710956593576811E-2</v>
      </c>
      <c r="D27" s="58">
        <f t="shared" ref="D27:G27" si="27">D42/(D75+D81)</f>
        <v>-4.4929036332695918E-2</v>
      </c>
      <c r="E27" s="58">
        <f t="shared" si="27"/>
        <v>-4.7010916320951307E-2</v>
      </c>
      <c r="F27" s="58">
        <f t="shared" si="27"/>
        <v>-5.0590375761176296E-2</v>
      </c>
      <c r="G27" s="58">
        <f t="shared" si="27"/>
        <v>-5.1221856630559358E-2</v>
      </c>
      <c r="H27" s="69">
        <f>AVERAGE(E27:G27)</f>
        <v>-4.960771623756232E-2</v>
      </c>
      <c r="I27" s="58">
        <f t="shared" ref="I27:L27" si="28">AVERAGE(F27:H27)</f>
        <v>-5.0473316209765993E-2</v>
      </c>
      <c r="J27" s="58">
        <f t="shared" si="28"/>
        <v>-5.0434296359295888E-2</v>
      </c>
      <c r="K27" s="58">
        <f t="shared" si="28"/>
        <v>-5.0171776268874736E-2</v>
      </c>
      <c r="L27" s="101">
        <f t="shared" si="28"/>
        <v>-5.0359796279312204E-2</v>
      </c>
    </row>
    <row r="28" spans="2:12" x14ac:dyDescent="0.25">
      <c r="H28" s="19"/>
    </row>
    <row r="29" spans="2:12" x14ac:dyDescent="0.25">
      <c r="H29" s="19"/>
    </row>
    <row r="30" spans="2:12" ht="15.75" x14ac:dyDescent="0.3">
      <c r="B30" s="1" t="s">
        <v>0</v>
      </c>
      <c r="C30" s="2">
        <v>2021</v>
      </c>
      <c r="D30" s="2">
        <f>+C30+1</f>
        <v>2022</v>
      </c>
      <c r="E30" s="2">
        <f>+D30+1</f>
        <v>2023</v>
      </c>
      <c r="F30" s="2">
        <f>+E30+1</f>
        <v>2024</v>
      </c>
      <c r="G30" s="2">
        <f>+F30+1</f>
        <v>2025</v>
      </c>
      <c r="H30" s="2">
        <f t="shared" ref="H30" si="29">+G30+1</f>
        <v>2026</v>
      </c>
      <c r="I30" s="2">
        <f t="shared" ref="I30" si="30">+H30+1</f>
        <v>2027</v>
      </c>
      <c r="J30" s="2">
        <f t="shared" ref="J30" si="31">+I30+1</f>
        <v>2028</v>
      </c>
      <c r="K30" s="2">
        <f t="shared" ref="K30" si="32">+J30+1</f>
        <v>2029</v>
      </c>
      <c r="L30" s="2">
        <f t="shared" ref="L30" si="33">+K30+1</f>
        <v>2030</v>
      </c>
    </row>
    <row r="31" spans="2:12" ht="15.75" x14ac:dyDescent="0.3">
      <c r="B31" s="3" t="s">
        <v>1</v>
      </c>
      <c r="C31" s="5">
        <v>62286</v>
      </c>
      <c r="D31" s="5">
        <v>66608</v>
      </c>
      <c r="E31" s="5">
        <v>77794</v>
      </c>
      <c r="F31" s="5">
        <v>66517</v>
      </c>
      <c r="G31" s="55">
        <v>89463</v>
      </c>
      <c r="H31" s="48">
        <f>G31*(1+H4)</f>
        <v>97939.235908870192</v>
      </c>
      <c r="I31" s="48">
        <f t="shared" ref="I31:L31" si="34">H31*(1+I4)</f>
        <v>107848.54514840148</v>
      </c>
      <c r="J31" s="48">
        <f t="shared" si="34"/>
        <v>117025.72437734834</v>
      </c>
      <c r="K31" s="48">
        <f t="shared" si="34"/>
        <v>134777.84533508398</v>
      </c>
      <c r="L31" s="48">
        <f t="shared" si="34"/>
        <v>149318.03705658542</v>
      </c>
    </row>
    <row r="32" spans="2:12" ht="15.75" x14ac:dyDescent="0.3">
      <c r="B32" s="14" t="s">
        <v>2</v>
      </c>
      <c r="C32" s="5">
        <v>59237</v>
      </c>
      <c r="D32" s="5">
        <v>63078</v>
      </c>
      <c r="E32" s="5">
        <v>70070</v>
      </c>
      <c r="F32" s="5">
        <v>68508</v>
      </c>
      <c r="G32" s="102">
        <v>85174</v>
      </c>
      <c r="H32" s="72">
        <f>H31*G7</f>
        <v>93243.871536860039</v>
      </c>
      <c r="I32" s="104">
        <f t="shared" ref="I32:L32" si="35">I31*H7</f>
        <v>102678.11256575285</v>
      </c>
      <c r="J32" s="104">
        <f t="shared" si="35"/>
        <v>111415.32307340764</v>
      </c>
      <c r="K32" s="104">
        <f t="shared" si="35"/>
        <v>128316.37882219961</v>
      </c>
      <c r="L32" s="104">
        <f t="shared" si="35"/>
        <v>142159.49038437798</v>
      </c>
    </row>
    <row r="33" spans="2:12" ht="15.75" x14ac:dyDescent="0.3">
      <c r="B33" s="6" t="s">
        <v>3</v>
      </c>
      <c r="C33" s="7">
        <f>SUM(C31-C32)</f>
        <v>3049</v>
      </c>
      <c r="D33" s="7">
        <f>SUM(D31-D32)</f>
        <v>3530</v>
      </c>
      <c r="E33" s="7">
        <f>SUM(E31-E32)</f>
        <v>7724</v>
      </c>
      <c r="F33" s="7">
        <f>SUM(F31-F32)</f>
        <v>-1991</v>
      </c>
      <c r="G33" s="7">
        <f>SUM(G31-G32)</f>
        <v>4289</v>
      </c>
      <c r="H33" s="103">
        <f t="shared" ref="H33:L33" si="36">SUM(H31-H32)</f>
        <v>4695.3643720101536</v>
      </c>
      <c r="I33" s="77">
        <f t="shared" si="36"/>
        <v>5170.4325826486311</v>
      </c>
      <c r="J33" s="77">
        <f t="shared" si="36"/>
        <v>5610.4013039407</v>
      </c>
      <c r="K33" s="77">
        <f t="shared" si="36"/>
        <v>6461.4665128843772</v>
      </c>
      <c r="L33" s="77">
        <f t="shared" si="36"/>
        <v>7158.5466722074489</v>
      </c>
    </row>
    <row r="34" spans="2:12" ht="15.75" x14ac:dyDescent="0.3">
      <c r="B34" s="8" t="s">
        <v>4</v>
      </c>
      <c r="C34" s="9"/>
      <c r="D34" s="9"/>
      <c r="E34" s="9"/>
      <c r="F34" s="9"/>
      <c r="G34" s="9"/>
      <c r="H34" s="19"/>
    </row>
    <row r="35" spans="2:12" ht="15.75" x14ac:dyDescent="0.3">
      <c r="B35" s="10" t="s">
        <v>6</v>
      </c>
      <c r="C35" s="11">
        <v>4157</v>
      </c>
      <c r="D35" s="11">
        <v>4187</v>
      </c>
      <c r="E35" s="11">
        <v>5168</v>
      </c>
      <c r="F35" s="11">
        <v>5021</v>
      </c>
      <c r="G35" s="11">
        <v>6090</v>
      </c>
      <c r="H35" s="70">
        <f>H31*G8</f>
        <v>6667.0014048826824</v>
      </c>
      <c r="I35" s="48">
        <f>I31*H8</f>
        <v>7341.5561735439787</v>
      </c>
      <c r="J35" s="48">
        <f t="shared" ref="J35:L35" si="37">J31*I8</f>
        <v>7966.2727771039572</v>
      </c>
      <c r="K35" s="48">
        <f t="shared" si="37"/>
        <v>9174.7099704979864</v>
      </c>
      <c r="L35" s="48">
        <f t="shared" si="37"/>
        <v>10164.502036312277</v>
      </c>
    </row>
    <row r="36" spans="2:12" ht="15.75" x14ac:dyDescent="0.3">
      <c r="B36" s="10" t="s">
        <v>134</v>
      </c>
      <c r="C36" s="11">
        <v>2249</v>
      </c>
      <c r="D36" s="11">
        <v>2852</v>
      </c>
      <c r="E36" s="11">
        <v>3377</v>
      </c>
      <c r="F36" s="11">
        <v>3812</v>
      </c>
      <c r="G36" s="11">
        <v>3615</v>
      </c>
      <c r="H36" s="72">
        <f>H31*G9</f>
        <v>3957.5057600411988</v>
      </c>
      <c r="I36" s="104">
        <f t="shared" ref="I36:L36" si="38">I31*H9</f>
        <v>4357.918812374628</v>
      </c>
      <c r="J36" s="104">
        <f t="shared" si="38"/>
        <v>4728.7481263104773</v>
      </c>
      <c r="K36" s="104">
        <f t="shared" si="38"/>
        <v>5446.0716819951112</v>
      </c>
      <c r="L36" s="104">
        <f t="shared" si="38"/>
        <v>6033.6083516040853</v>
      </c>
    </row>
    <row r="37" spans="2:12" ht="15.75" x14ac:dyDescent="0.3">
      <c r="B37" s="6" t="s">
        <v>7</v>
      </c>
      <c r="C37" s="7">
        <f>SUM(C35:C36)</f>
        <v>6406</v>
      </c>
      <c r="D37" s="7">
        <f t="shared" ref="D37:L37" si="39">SUM(D35:D36)</f>
        <v>7039</v>
      </c>
      <c r="E37" s="7">
        <f t="shared" si="39"/>
        <v>8545</v>
      </c>
      <c r="F37" s="7">
        <f t="shared" si="39"/>
        <v>8833</v>
      </c>
      <c r="G37" s="7">
        <f t="shared" si="39"/>
        <v>9705</v>
      </c>
      <c r="H37" s="103">
        <f t="shared" si="39"/>
        <v>10624.507164923882</v>
      </c>
      <c r="I37" s="77">
        <f t="shared" si="39"/>
        <v>11699.474985918607</v>
      </c>
      <c r="J37" s="77">
        <f t="shared" si="39"/>
        <v>12695.020903414435</v>
      </c>
      <c r="K37" s="77">
        <f t="shared" si="39"/>
        <v>14620.781652493097</v>
      </c>
      <c r="L37" s="77">
        <f t="shared" si="39"/>
        <v>16198.110387916362</v>
      </c>
    </row>
    <row r="38" spans="2:12" ht="15.75" x14ac:dyDescent="0.3">
      <c r="B38" s="6" t="s">
        <v>8</v>
      </c>
      <c r="C38" s="7">
        <f t="shared" ref="C38:H38" si="40">SUM(C33-C37)</f>
        <v>-3357</v>
      </c>
      <c r="D38" s="7">
        <f t="shared" si="40"/>
        <v>-3509</v>
      </c>
      <c r="E38" s="7">
        <f t="shared" si="40"/>
        <v>-821</v>
      </c>
      <c r="F38" s="7">
        <f t="shared" si="40"/>
        <v>-10824</v>
      </c>
      <c r="G38" s="34">
        <f t="shared" si="40"/>
        <v>-5416</v>
      </c>
      <c r="H38" s="7">
        <f t="shared" si="40"/>
        <v>-5929.142792913728</v>
      </c>
      <c r="I38" s="7">
        <f t="shared" ref="I38:L38" si="41">SUM(I33-I37)</f>
        <v>-6529.0424032699757</v>
      </c>
      <c r="J38" s="7">
        <f t="shared" si="41"/>
        <v>-7084.6195994737354</v>
      </c>
      <c r="K38" s="7">
        <f t="shared" si="41"/>
        <v>-8159.3151396087196</v>
      </c>
      <c r="L38" s="7">
        <f t="shared" si="41"/>
        <v>-9039.5637157089132</v>
      </c>
    </row>
    <row r="39" spans="2:12" ht="15.75" x14ac:dyDescent="0.3">
      <c r="B39" s="4" t="s">
        <v>47</v>
      </c>
      <c r="C39" s="5">
        <v>210</v>
      </c>
      <c r="D39" s="5">
        <v>-16</v>
      </c>
      <c r="E39" s="5">
        <v>46</v>
      </c>
      <c r="F39" s="5">
        <v>71</v>
      </c>
      <c r="G39" s="5">
        <v>25</v>
      </c>
      <c r="H39" s="73">
        <f>AVERAGE(E39:G39)</f>
        <v>47.333333333333336</v>
      </c>
      <c r="I39" s="74">
        <f t="shared" ref="I39:L39" si="42">AVERAGE(F39:H39)</f>
        <v>47.777777777777779</v>
      </c>
      <c r="J39" s="74">
        <f t="shared" si="42"/>
        <v>40.037037037037038</v>
      </c>
      <c r="K39" s="74">
        <f t="shared" si="42"/>
        <v>45.049382716049386</v>
      </c>
      <c r="L39" s="74">
        <f t="shared" si="42"/>
        <v>44.288065843621403</v>
      </c>
    </row>
    <row r="40" spans="2:12" ht="15.75" x14ac:dyDescent="0.3">
      <c r="B40" s="10" t="s">
        <v>46</v>
      </c>
      <c r="C40" s="11">
        <v>277</v>
      </c>
      <c r="D40" s="11">
        <v>6</v>
      </c>
      <c r="E40" s="11">
        <v>2</v>
      </c>
      <c r="F40" s="11">
        <v>46</v>
      </c>
      <c r="G40" s="11">
        <v>9672</v>
      </c>
      <c r="H40" s="73">
        <v>0</v>
      </c>
      <c r="I40" s="74">
        <v>0</v>
      </c>
      <c r="J40" s="74">
        <v>0</v>
      </c>
      <c r="K40" s="74">
        <v>0</v>
      </c>
      <c r="L40" s="74">
        <v>0</v>
      </c>
    </row>
    <row r="41" spans="2:12" ht="15.75" x14ac:dyDescent="0.3">
      <c r="B41" s="4" t="s">
        <v>11</v>
      </c>
      <c r="C41" s="5">
        <v>551</v>
      </c>
      <c r="D41" s="5">
        <v>1058</v>
      </c>
      <c r="E41" s="5">
        <v>1227</v>
      </c>
      <c r="F41" s="5">
        <v>1222</v>
      </c>
      <c r="G41" s="5">
        <v>1125</v>
      </c>
      <c r="H41" s="73">
        <f>AVERAGE(E41:G41)</f>
        <v>1191.3333333333333</v>
      </c>
      <c r="I41" s="74">
        <f t="shared" ref="I41:L41" si="43">AVERAGE(F41:H41)</f>
        <v>1179.4444444444443</v>
      </c>
      <c r="J41" s="74">
        <f t="shared" si="43"/>
        <v>1165.2592592592591</v>
      </c>
      <c r="K41" s="74">
        <f t="shared" si="43"/>
        <v>1178.6790123456788</v>
      </c>
      <c r="L41" s="74">
        <f t="shared" si="43"/>
        <v>1174.4609053497941</v>
      </c>
    </row>
    <row r="42" spans="2:12" ht="15.75" x14ac:dyDescent="0.3">
      <c r="B42" s="4" t="s">
        <v>9</v>
      </c>
      <c r="C42" s="5">
        <f>-2714</f>
        <v>-2714</v>
      </c>
      <c r="D42" s="5">
        <v>-2561</v>
      </c>
      <c r="E42" s="5">
        <v>-2459</v>
      </c>
      <c r="F42" s="5">
        <v>-2725</v>
      </c>
      <c r="G42" s="5">
        <v>-2771</v>
      </c>
      <c r="H42" s="19"/>
    </row>
    <row r="43" spans="2:12" ht="15.75" x14ac:dyDescent="0.3">
      <c r="B43" s="6" t="s">
        <v>10</v>
      </c>
      <c r="C43" s="7">
        <f>SUM(C38:C42)</f>
        <v>-5033</v>
      </c>
      <c r="D43" s="7">
        <f t="shared" ref="D43:F43" si="44">SUM(D38:D42)</f>
        <v>-5022</v>
      </c>
      <c r="E43" s="7">
        <f t="shared" si="44"/>
        <v>-2005</v>
      </c>
      <c r="F43" s="7">
        <f t="shared" si="44"/>
        <v>-12210</v>
      </c>
      <c r="G43" s="7">
        <f>SUM(G38:G42)</f>
        <v>2635</v>
      </c>
      <c r="H43" s="110">
        <f>SUM(H38:H42)</f>
        <v>-4690.476126247062</v>
      </c>
      <c r="I43" s="111">
        <f t="shared" ref="I43:L43" si="45">SUM(I38:I42)</f>
        <v>-5301.820181047754</v>
      </c>
      <c r="J43" s="111">
        <f t="shared" si="45"/>
        <v>-5879.3233031774389</v>
      </c>
      <c r="K43" s="111">
        <f t="shared" si="45"/>
        <v>-6935.5867445469921</v>
      </c>
      <c r="L43" s="111">
        <f t="shared" si="45"/>
        <v>-7820.8147445154982</v>
      </c>
    </row>
    <row r="44" spans="2:12" ht="15.75" x14ac:dyDescent="0.3">
      <c r="B44" s="4" t="s">
        <v>5</v>
      </c>
      <c r="C44" s="11">
        <v>-743</v>
      </c>
      <c r="D44" s="11">
        <v>31</v>
      </c>
      <c r="E44" s="11">
        <v>237</v>
      </c>
      <c r="F44" s="11">
        <v>-381</v>
      </c>
      <c r="G44" s="11">
        <v>397</v>
      </c>
      <c r="H44" s="73">
        <f>H43*H13</f>
        <v>-984.99998651188298</v>
      </c>
      <c r="I44" s="74">
        <f t="shared" ref="I44:L44" si="46">I43*I13</f>
        <v>-1113.3822380200284</v>
      </c>
      <c r="J44" s="74">
        <f t="shared" si="46"/>
        <v>-1234.6578936672622</v>
      </c>
      <c r="K44" s="74">
        <f t="shared" si="46"/>
        <v>-1456.4732163548683</v>
      </c>
      <c r="L44" s="74">
        <f t="shared" si="46"/>
        <v>-1642.3710963482545</v>
      </c>
    </row>
    <row r="45" spans="2:12" ht="16.5" thickBot="1" x14ac:dyDescent="0.35">
      <c r="B45" s="12" t="s">
        <v>50</v>
      </c>
      <c r="C45" s="13">
        <f t="shared" ref="C45:L45" si="47">SUM(C43-C44)</f>
        <v>-4290</v>
      </c>
      <c r="D45" s="13">
        <f t="shared" si="47"/>
        <v>-5053</v>
      </c>
      <c r="E45" s="13">
        <f t="shared" si="47"/>
        <v>-2242</v>
      </c>
      <c r="F45" s="13">
        <f t="shared" si="47"/>
        <v>-11829</v>
      </c>
      <c r="G45" s="13">
        <f t="shared" si="47"/>
        <v>2238</v>
      </c>
      <c r="H45" s="81">
        <f t="shared" si="47"/>
        <v>-3705.476139735179</v>
      </c>
      <c r="I45" s="13">
        <f t="shared" si="47"/>
        <v>-4188.4379430277259</v>
      </c>
      <c r="J45" s="13">
        <f t="shared" si="47"/>
        <v>-4644.6654095101767</v>
      </c>
      <c r="K45" s="13">
        <f t="shared" si="47"/>
        <v>-5479.1135281921233</v>
      </c>
      <c r="L45" s="13">
        <f t="shared" si="47"/>
        <v>-6178.4436481672437</v>
      </c>
    </row>
    <row r="46" spans="2:12" ht="16.5" thickTop="1" x14ac:dyDescent="0.3">
      <c r="B46" s="4" t="s">
        <v>120</v>
      </c>
      <c r="C46" s="11">
        <v>-88</v>
      </c>
      <c r="D46" s="11">
        <v>-118</v>
      </c>
      <c r="E46" s="11">
        <v>-20</v>
      </c>
      <c r="F46" s="11">
        <v>-12</v>
      </c>
      <c r="G46" s="55">
        <v>3</v>
      </c>
      <c r="H46" s="73">
        <f>AVERAGE(E46:G46)</f>
        <v>-9.6666666666666661</v>
      </c>
      <c r="I46" s="74">
        <f t="shared" ref="I46:L46" si="48">AVERAGE(F46:H46)</f>
        <v>-6.2222222222222214</v>
      </c>
      <c r="J46" s="74">
        <f t="shared" si="48"/>
        <v>-4.2962962962962958</v>
      </c>
      <c r="K46" s="74">
        <f t="shared" si="48"/>
        <v>-6.7283950617283947</v>
      </c>
      <c r="L46" s="74">
        <f t="shared" si="48"/>
        <v>-5.7489711934156373</v>
      </c>
    </row>
    <row r="47" spans="2:12" ht="15.75" x14ac:dyDescent="0.3">
      <c r="B47" s="15" t="s">
        <v>121</v>
      </c>
      <c r="C47" s="17">
        <f t="shared" ref="C47:F47" si="49">SUM(C45-C46)</f>
        <v>-4202</v>
      </c>
      <c r="D47" s="17">
        <f t="shared" si="49"/>
        <v>-4935</v>
      </c>
      <c r="E47" s="17">
        <f t="shared" si="49"/>
        <v>-2222</v>
      </c>
      <c r="F47" s="17">
        <f t="shared" si="49"/>
        <v>-11817</v>
      </c>
      <c r="G47" s="17">
        <f>SUM(G45-G46)</f>
        <v>2235</v>
      </c>
      <c r="H47" s="78">
        <f t="shared" ref="H47:L47" si="50">SUM(H45-H46)</f>
        <v>-3695.8094730685125</v>
      </c>
      <c r="I47" s="17">
        <f>SUM(I45-I46)</f>
        <v>-4182.2157208055032</v>
      </c>
      <c r="J47" s="17">
        <f t="shared" si="50"/>
        <v>-4640.3691132138802</v>
      </c>
      <c r="K47" s="17">
        <f t="shared" si="50"/>
        <v>-5472.3851331303949</v>
      </c>
      <c r="L47" s="17">
        <f t="shared" si="50"/>
        <v>-6172.6946769738279</v>
      </c>
    </row>
    <row r="48" spans="2:12" ht="15.75" x14ac:dyDescent="0.3">
      <c r="B48" s="4" t="s">
        <v>122</v>
      </c>
      <c r="C48" s="11">
        <v>0</v>
      </c>
      <c r="D48" s="11">
        <v>0</v>
      </c>
      <c r="E48" s="11">
        <v>0</v>
      </c>
      <c r="F48" s="11">
        <v>58</v>
      </c>
      <c r="G48" s="55">
        <v>-345</v>
      </c>
      <c r="H48" s="18">
        <v>-345</v>
      </c>
      <c r="I48" s="18">
        <v>-173</v>
      </c>
      <c r="J48" s="18">
        <v>0</v>
      </c>
      <c r="K48" s="18">
        <v>0</v>
      </c>
      <c r="L48" s="18">
        <v>0</v>
      </c>
    </row>
    <row r="49" spans="2:12" ht="15.75" x14ac:dyDescent="0.3">
      <c r="B49" s="15" t="s">
        <v>123</v>
      </c>
      <c r="C49" s="17">
        <f t="shared" ref="C49:E49" si="51">SUM(C47-C48)</f>
        <v>-4202</v>
      </c>
      <c r="D49" s="17">
        <f t="shared" si="51"/>
        <v>-4935</v>
      </c>
      <c r="E49" s="17">
        <f t="shared" si="51"/>
        <v>-2222</v>
      </c>
      <c r="F49" s="17">
        <f>SUM(F47-F48)</f>
        <v>-11875</v>
      </c>
      <c r="G49" s="47">
        <f>SUM(G47:G48)</f>
        <v>1890</v>
      </c>
      <c r="H49" s="77">
        <f t="shared" ref="H49:L49" si="52">SUM(H47:H48)</f>
        <v>-4040.8094730685125</v>
      </c>
      <c r="I49" s="77">
        <f t="shared" si="52"/>
        <v>-4355.2157208055032</v>
      </c>
      <c r="J49" s="77">
        <f t="shared" si="52"/>
        <v>-4640.3691132138802</v>
      </c>
      <c r="K49" s="77">
        <f t="shared" si="52"/>
        <v>-5472.3851331303949</v>
      </c>
      <c r="L49" s="77">
        <f t="shared" si="52"/>
        <v>-6172.6946769738279</v>
      </c>
    </row>
    <row r="50" spans="2:12" ht="15.75" x14ac:dyDescent="0.3">
      <c r="B50" s="46" t="s">
        <v>118</v>
      </c>
      <c r="C50" s="54">
        <v>587.6</v>
      </c>
      <c r="D50" s="54">
        <v>594.9</v>
      </c>
      <c r="E50" s="54">
        <v>605.79999999999995</v>
      </c>
      <c r="F50" s="54">
        <v>646.9</v>
      </c>
      <c r="G50" s="54">
        <v>759.8</v>
      </c>
      <c r="H50" s="75">
        <f>AVERAGE(E50:G50)</f>
        <v>670.83333333333326</v>
      </c>
      <c r="I50" s="76">
        <f t="shared" ref="I50:L50" si="53">AVERAGE(F50:H50)</f>
        <v>692.51111111111095</v>
      </c>
      <c r="J50" s="76">
        <f t="shared" si="53"/>
        <v>707.71481481481476</v>
      </c>
      <c r="K50" s="76">
        <f t="shared" si="53"/>
        <v>690.35308641975291</v>
      </c>
      <c r="L50" s="76">
        <f t="shared" si="53"/>
        <v>696.85967078189287</v>
      </c>
    </row>
    <row r="51" spans="2:12" ht="15.75" x14ac:dyDescent="0.3">
      <c r="B51" s="6" t="s">
        <v>114</v>
      </c>
      <c r="C51" s="56">
        <f>C49/C50</f>
        <v>-7.1511232130701154</v>
      </c>
      <c r="D51" s="56">
        <f t="shared" ref="D51:L51" si="54">D49/D50</f>
        <v>-8.2955118507312164</v>
      </c>
      <c r="E51" s="56">
        <f t="shared" si="54"/>
        <v>-3.6678771871904923</v>
      </c>
      <c r="F51" s="56">
        <f t="shared" si="54"/>
        <v>-18.356778481991036</v>
      </c>
      <c r="G51" s="56">
        <f>G49/G50</f>
        <v>2.4874967096604372</v>
      </c>
      <c r="H51" s="79">
        <f>H49/H50</f>
        <v>-6.0235669163754233</v>
      </c>
      <c r="I51" s="56">
        <f t="shared" si="54"/>
        <v>-6.2890192676009269</v>
      </c>
      <c r="J51" s="56">
        <f t="shared" si="54"/>
        <v>-6.5568347815752723</v>
      </c>
      <c r="K51" s="56">
        <f t="shared" si="54"/>
        <v>-7.9269365789480082</v>
      </c>
      <c r="L51" s="56">
        <f t="shared" si="54"/>
        <v>-8.8578733076171847</v>
      </c>
    </row>
    <row r="52" spans="2:12" ht="15.75" x14ac:dyDescent="0.3">
      <c r="B52" s="4" t="s">
        <v>119</v>
      </c>
      <c r="C52" s="54">
        <v>587.6</v>
      </c>
      <c r="D52" s="54">
        <v>594.9</v>
      </c>
      <c r="E52" s="54">
        <v>605.79999999999995</v>
      </c>
      <c r="F52" s="54">
        <v>646.9</v>
      </c>
      <c r="G52" s="54">
        <v>762.3</v>
      </c>
      <c r="H52" s="73">
        <f>AVERAGE(E52:G52)</f>
        <v>671.66666666666663</v>
      </c>
      <c r="I52" s="74">
        <f t="shared" ref="I52:L52" si="55">AVERAGE(F52:H52)</f>
        <v>693.62222222222215</v>
      </c>
      <c r="J52" s="74">
        <f t="shared" si="55"/>
        <v>709.19629629629628</v>
      </c>
      <c r="K52" s="74">
        <f t="shared" si="55"/>
        <v>691.49506172839494</v>
      </c>
      <c r="L52" s="74">
        <f t="shared" si="55"/>
        <v>698.10452674897113</v>
      </c>
    </row>
    <row r="53" spans="2:12" ht="15.75" x14ac:dyDescent="0.3">
      <c r="B53" s="26" t="s">
        <v>124</v>
      </c>
      <c r="C53" s="57">
        <f>C49/C52</f>
        <v>-7.1511232130701154</v>
      </c>
      <c r="D53" s="57">
        <f t="shared" ref="D53:L53" si="56">D49/D52</f>
        <v>-8.2955118507312164</v>
      </c>
      <c r="E53" s="57">
        <f t="shared" si="56"/>
        <v>-3.6678771871904923</v>
      </c>
      <c r="F53" s="57">
        <f t="shared" si="56"/>
        <v>-18.356778481991036</v>
      </c>
      <c r="G53" s="57">
        <f t="shared" si="56"/>
        <v>2.4793388429752068</v>
      </c>
      <c r="H53" s="80">
        <f t="shared" si="56"/>
        <v>-6.0160935082905898</v>
      </c>
      <c r="I53" s="57">
        <f t="shared" si="56"/>
        <v>-6.2789449087318641</v>
      </c>
      <c r="J53" s="57">
        <f t="shared" si="56"/>
        <v>-6.5431378272104972</v>
      </c>
      <c r="K53" s="57">
        <f t="shared" si="56"/>
        <v>-7.9138455731732114</v>
      </c>
      <c r="L53" s="57">
        <f t="shared" si="56"/>
        <v>-8.8420779990063654</v>
      </c>
    </row>
    <row r="55" spans="2:12" ht="15.75" x14ac:dyDescent="0.3">
      <c r="B55" s="1" t="s">
        <v>12</v>
      </c>
      <c r="C55" s="2">
        <v>2021</v>
      </c>
      <c r="D55" s="2">
        <f t="shared" ref="D55:E55" si="57">+C55+1</f>
        <v>2022</v>
      </c>
      <c r="E55" s="2">
        <f t="shared" si="57"/>
        <v>2023</v>
      </c>
      <c r="F55" s="2">
        <f t="shared" ref="F55" si="58">+E55+1</f>
        <v>2024</v>
      </c>
      <c r="G55" s="2">
        <f>+F55+1</f>
        <v>2025</v>
      </c>
      <c r="H55" s="2">
        <f t="shared" ref="H55:L55" si="59">+G55+1</f>
        <v>2026</v>
      </c>
      <c r="I55" s="2">
        <f t="shared" si="59"/>
        <v>2027</v>
      </c>
      <c r="J55" s="2">
        <f t="shared" si="59"/>
        <v>2028</v>
      </c>
      <c r="K55" s="2">
        <f t="shared" si="59"/>
        <v>2029</v>
      </c>
      <c r="L55" s="2">
        <f t="shared" si="59"/>
        <v>2030</v>
      </c>
    </row>
    <row r="56" spans="2:12" ht="15.75" x14ac:dyDescent="0.3">
      <c r="B56" s="14" t="s">
        <v>13</v>
      </c>
      <c r="C56" s="5">
        <v>8052</v>
      </c>
      <c r="D56" s="5">
        <v>14614</v>
      </c>
      <c r="E56" s="5">
        <v>12691</v>
      </c>
      <c r="F56" s="5">
        <v>13801</v>
      </c>
      <c r="G56" s="5">
        <v>10921</v>
      </c>
      <c r="H56" s="20"/>
    </row>
    <row r="57" spans="2:12" ht="15.75" x14ac:dyDescent="0.3">
      <c r="B57" s="14" t="s">
        <v>17</v>
      </c>
      <c r="C57" s="5">
        <v>8192</v>
      </c>
      <c r="D57" s="5">
        <v>2606</v>
      </c>
      <c r="E57" s="5">
        <v>3274</v>
      </c>
      <c r="F57" s="5">
        <v>12481</v>
      </c>
      <c r="G57" s="5">
        <v>18479</v>
      </c>
      <c r="H57" s="19"/>
    </row>
    <row r="58" spans="2:12" ht="15.75" x14ac:dyDescent="0.3">
      <c r="B58" s="14" t="s">
        <v>52</v>
      </c>
      <c r="C58" s="5">
        <v>2641</v>
      </c>
      <c r="D58" s="5">
        <v>2517</v>
      </c>
      <c r="E58" s="5">
        <v>2649</v>
      </c>
      <c r="F58" s="5">
        <v>2631</v>
      </c>
      <c r="G58" s="5">
        <v>2921</v>
      </c>
      <c r="H58" s="19"/>
    </row>
    <row r="59" spans="2:12" ht="15.75" x14ac:dyDescent="0.3">
      <c r="B59" s="16" t="s">
        <v>28</v>
      </c>
      <c r="C59" s="18">
        <v>8620</v>
      </c>
      <c r="D59" s="18">
        <v>8634</v>
      </c>
      <c r="E59" s="18">
        <v>8317</v>
      </c>
      <c r="F59" s="18">
        <v>8363</v>
      </c>
      <c r="G59" s="18">
        <v>9158</v>
      </c>
      <c r="H59" s="19"/>
    </row>
    <row r="60" spans="2:12" ht="15.75" x14ac:dyDescent="0.3">
      <c r="B60" s="16" t="s">
        <v>33</v>
      </c>
      <c r="C60" s="18">
        <v>117</v>
      </c>
      <c r="D60" s="18">
        <v>154</v>
      </c>
      <c r="E60" s="18">
        <v>99</v>
      </c>
      <c r="F60" s="18">
        <v>207</v>
      </c>
      <c r="G60" s="18">
        <v>0</v>
      </c>
      <c r="H60" s="19"/>
    </row>
    <row r="61" spans="2:12" ht="15.75" x14ac:dyDescent="0.3">
      <c r="B61" s="14" t="s">
        <v>14</v>
      </c>
      <c r="C61" s="5">
        <v>78823</v>
      </c>
      <c r="D61" s="5">
        <v>78151</v>
      </c>
      <c r="E61" s="5">
        <v>79741</v>
      </c>
      <c r="F61" s="5">
        <v>87550</v>
      </c>
      <c r="G61" s="5">
        <v>84679</v>
      </c>
      <c r="H61" s="19"/>
    </row>
    <row r="62" spans="2:12" ht="15.75" x14ac:dyDescent="0.3">
      <c r="B62" s="14" t="s">
        <v>19</v>
      </c>
      <c r="C62" s="5">
        <v>2221</v>
      </c>
      <c r="D62" s="5">
        <v>2847</v>
      </c>
      <c r="E62" s="5">
        <v>2504</v>
      </c>
      <c r="F62" s="18">
        <v>2965</v>
      </c>
      <c r="G62" s="5">
        <v>2301</v>
      </c>
      <c r="H62" s="19"/>
    </row>
    <row r="63" spans="2:12" ht="15.75" x14ac:dyDescent="0.3">
      <c r="B63" s="6" t="s">
        <v>18</v>
      </c>
      <c r="C63" s="7">
        <f>SUM(C56:C62)</f>
        <v>108666</v>
      </c>
      <c r="D63" s="7">
        <f>SUM(D56:D62)</f>
        <v>109523</v>
      </c>
      <c r="E63" s="7">
        <f>SUM(E56:E62)</f>
        <v>109275</v>
      </c>
      <c r="F63" s="7">
        <f t="shared" ref="F63" si="60">SUM(F56:F62)</f>
        <v>127998</v>
      </c>
      <c r="G63" s="7">
        <f>SUM(G56:G62)</f>
        <v>128459</v>
      </c>
      <c r="H63" s="30"/>
      <c r="I63" s="29"/>
      <c r="J63" s="29"/>
      <c r="K63" s="29"/>
      <c r="L63" s="29"/>
    </row>
    <row r="64" spans="2:12" ht="15.75" x14ac:dyDescent="0.3">
      <c r="B64" s="16" t="s">
        <v>128</v>
      </c>
      <c r="C64" s="18">
        <v>1695</v>
      </c>
      <c r="D64" s="18">
        <v>1450</v>
      </c>
      <c r="E64" s="18">
        <v>860</v>
      </c>
      <c r="F64" s="18">
        <v>314</v>
      </c>
      <c r="G64" s="18">
        <v>241</v>
      </c>
      <c r="H64" s="19"/>
    </row>
    <row r="65" spans="2:12" ht="15.75" x14ac:dyDescent="0.3">
      <c r="B65" s="14" t="s">
        <v>15</v>
      </c>
      <c r="C65" s="5">
        <v>10918</v>
      </c>
      <c r="D65" s="5">
        <v>10550</v>
      </c>
      <c r="E65" s="5">
        <v>10661</v>
      </c>
      <c r="F65" s="5">
        <v>11412</v>
      </c>
      <c r="G65" s="5">
        <v>15361</v>
      </c>
      <c r="H65" s="19"/>
    </row>
    <row r="66" spans="2:12" ht="15.75" x14ac:dyDescent="0.3">
      <c r="B66" s="14" t="s">
        <v>29</v>
      </c>
      <c r="C66" s="5">
        <v>8068</v>
      </c>
      <c r="D66" s="5">
        <v>8057</v>
      </c>
      <c r="E66" s="5">
        <v>8093</v>
      </c>
      <c r="F66" s="5">
        <v>8084</v>
      </c>
      <c r="G66" s="18">
        <v>17275</v>
      </c>
      <c r="H66" s="19"/>
    </row>
    <row r="67" spans="2:12" ht="15.75" x14ac:dyDescent="0.3">
      <c r="B67" s="14" t="s">
        <v>30</v>
      </c>
      <c r="C67" s="5">
        <v>2562</v>
      </c>
      <c r="D67" s="5">
        <v>2311</v>
      </c>
      <c r="E67" s="5">
        <v>2094</v>
      </c>
      <c r="F67" s="5">
        <v>1957</v>
      </c>
      <c r="G67" s="5">
        <v>1567</v>
      </c>
      <c r="H67" s="19"/>
    </row>
    <row r="68" spans="2:12" ht="15.75" x14ac:dyDescent="0.3">
      <c r="B68" s="16" t="s">
        <v>31</v>
      </c>
      <c r="C68" s="18">
        <v>77</v>
      </c>
      <c r="D68" s="18">
        <v>63</v>
      </c>
      <c r="E68" s="18">
        <v>59</v>
      </c>
      <c r="F68" s="18">
        <v>185</v>
      </c>
      <c r="G68" s="18">
        <v>107</v>
      </c>
      <c r="H68" s="19"/>
    </row>
    <row r="69" spans="2:12" ht="15.75" x14ac:dyDescent="0.3">
      <c r="B69" s="16" t="s">
        <v>32</v>
      </c>
      <c r="C69" s="18">
        <v>975</v>
      </c>
      <c r="D69" s="18">
        <v>983</v>
      </c>
      <c r="E69" s="18">
        <v>1035</v>
      </c>
      <c r="F69" s="18">
        <v>999</v>
      </c>
      <c r="G69" s="18">
        <v>1048</v>
      </c>
      <c r="H69" s="19"/>
    </row>
    <row r="70" spans="2:12" ht="15.75" x14ac:dyDescent="0.3">
      <c r="B70" s="16" t="s">
        <v>19</v>
      </c>
      <c r="C70" s="18">
        <v>5591</v>
      </c>
      <c r="D70" s="18">
        <v>4163</v>
      </c>
      <c r="E70" s="18">
        <v>4935</v>
      </c>
      <c r="F70" s="18">
        <v>5414</v>
      </c>
      <c r="G70" s="18">
        <v>4177</v>
      </c>
      <c r="H70" s="19"/>
    </row>
    <row r="71" spans="2:12" ht="15.75" x14ac:dyDescent="0.3">
      <c r="B71" s="26" t="s">
        <v>20</v>
      </c>
      <c r="C71" s="27">
        <f>SUM(C63:C70)</f>
        <v>138552</v>
      </c>
      <c r="D71" s="27">
        <f t="shared" ref="D71:G71" si="61">SUM(D63:D70)</f>
        <v>137100</v>
      </c>
      <c r="E71" s="27">
        <f t="shared" si="61"/>
        <v>137012</v>
      </c>
      <c r="F71" s="27">
        <f t="shared" si="61"/>
        <v>156363</v>
      </c>
      <c r="G71" s="28">
        <f t="shared" si="61"/>
        <v>168235</v>
      </c>
      <c r="H71" s="31"/>
      <c r="I71" s="32"/>
      <c r="J71" s="32"/>
      <c r="K71" s="32"/>
      <c r="L71" s="32"/>
    </row>
    <row r="72" spans="2:12" ht="15.75" x14ac:dyDescent="0.3">
      <c r="B72" s="10" t="s">
        <v>16</v>
      </c>
      <c r="C72" s="18">
        <v>9261</v>
      </c>
      <c r="D72" s="18">
        <v>10200</v>
      </c>
      <c r="E72" s="18">
        <v>11964</v>
      </c>
      <c r="F72" s="18">
        <v>11364</v>
      </c>
      <c r="G72" s="18">
        <v>13109</v>
      </c>
      <c r="H72" s="19"/>
    </row>
    <row r="73" spans="2:12" ht="15.75" x14ac:dyDescent="0.3">
      <c r="B73" s="16" t="s">
        <v>34</v>
      </c>
      <c r="C73" s="18">
        <v>18455</v>
      </c>
      <c r="D73" s="18">
        <v>21581</v>
      </c>
      <c r="E73" s="18">
        <v>22331</v>
      </c>
      <c r="F73" s="18">
        <v>24103</v>
      </c>
      <c r="G73" s="18">
        <v>27141</v>
      </c>
      <c r="H73" s="19"/>
    </row>
    <row r="74" spans="2:12" ht="15.75" x14ac:dyDescent="0.3">
      <c r="B74" s="16" t="s">
        <v>35</v>
      </c>
      <c r="C74" s="18">
        <v>52980</v>
      </c>
      <c r="D74" s="18">
        <v>53081</v>
      </c>
      <c r="E74" s="18">
        <v>56328</v>
      </c>
      <c r="F74" s="18">
        <v>60333</v>
      </c>
      <c r="G74" s="18">
        <v>59404</v>
      </c>
      <c r="H74" s="19"/>
    </row>
    <row r="75" spans="2:12" ht="15.75" x14ac:dyDescent="0.3">
      <c r="B75" s="16" t="s">
        <v>36</v>
      </c>
      <c r="C75" s="18">
        <v>1296</v>
      </c>
      <c r="D75" s="18">
        <v>5190</v>
      </c>
      <c r="E75" s="18">
        <v>5204</v>
      </c>
      <c r="F75" s="18">
        <v>1278</v>
      </c>
      <c r="G75" s="18">
        <v>8461</v>
      </c>
      <c r="H75" s="19"/>
    </row>
    <row r="76" spans="2:12" ht="15.75" x14ac:dyDescent="0.3">
      <c r="B76" s="6" t="s">
        <v>23</v>
      </c>
      <c r="C76" s="7">
        <f t="shared" ref="C76:F76" si="62">SUM(C72:C75)</f>
        <v>81992</v>
      </c>
      <c r="D76" s="7">
        <f t="shared" si="62"/>
        <v>90052</v>
      </c>
      <c r="E76" s="7">
        <f t="shared" si="62"/>
        <v>95827</v>
      </c>
      <c r="F76" s="7">
        <f t="shared" si="62"/>
        <v>97078</v>
      </c>
      <c r="G76" s="7">
        <f>SUM(G72:G75)</f>
        <v>108115</v>
      </c>
      <c r="H76" s="30"/>
      <c r="I76" s="29"/>
      <c r="J76" s="29"/>
      <c r="K76" s="29"/>
      <c r="L76" s="29"/>
    </row>
    <row r="77" spans="2:12" ht="15.75" x14ac:dyDescent="0.3">
      <c r="B77" s="16" t="s">
        <v>31</v>
      </c>
      <c r="C77" s="18">
        <v>218</v>
      </c>
      <c r="D77" s="18">
        <v>230</v>
      </c>
      <c r="E77" s="18">
        <v>229</v>
      </c>
      <c r="F77" s="18">
        <v>122</v>
      </c>
      <c r="G77" s="18">
        <v>216</v>
      </c>
      <c r="H77" s="19"/>
    </row>
    <row r="78" spans="2:12" ht="15.75" x14ac:dyDescent="0.3">
      <c r="B78" s="10" t="s">
        <v>37</v>
      </c>
      <c r="C78" s="18">
        <v>3528</v>
      </c>
      <c r="D78" s="18">
        <v>2503</v>
      </c>
      <c r="E78" s="18">
        <v>2233</v>
      </c>
      <c r="F78" s="18">
        <v>2176</v>
      </c>
      <c r="G78" s="18">
        <v>2091</v>
      </c>
      <c r="H78" s="19"/>
    </row>
    <row r="79" spans="2:12" ht="15.75" x14ac:dyDescent="0.3">
      <c r="B79" s="10" t="s">
        <v>38</v>
      </c>
      <c r="C79" s="18">
        <v>9104</v>
      </c>
      <c r="D79" s="18">
        <v>6141</v>
      </c>
      <c r="E79" s="18">
        <v>6516</v>
      </c>
      <c r="F79" s="18">
        <v>5997</v>
      </c>
      <c r="G79" s="18">
        <v>4287</v>
      </c>
      <c r="H79" s="19"/>
    </row>
    <row r="80" spans="2:12" ht="15.75" x14ac:dyDescent="0.3">
      <c r="B80" s="10" t="s">
        <v>39</v>
      </c>
      <c r="C80" s="18">
        <v>1750</v>
      </c>
      <c r="D80" s="18">
        <v>2211</v>
      </c>
      <c r="E80" s="18">
        <v>2332</v>
      </c>
      <c r="F80" s="18">
        <v>2318</v>
      </c>
      <c r="G80" s="18">
        <v>2432</v>
      </c>
      <c r="H80" s="19"/>
    </row>
    <row r="81" spans="2:12" ht="15.75" x14ac:dyDescent="0.3">
      <c r="B81" s="10" t="s">
        <v>21</v>
      </c>
      <c r="C81" s="18">
        <v>56806</v>
      </c>
      <c r="D81" s="18">
        <v>51811</v>
      </c>
      <c r="E81" s="18">
        <v>47103</v>
      </c>
      <c r="F81" s="18">
        <v>52586</v>
      </c>
      <c r="G81" s="18">
        <v>45637</v>
      </c>
      <c r="H81" s="19"/>
    </row>
    <row r="82" spans="2:12" ht="15.75" x14ac:dyDescent="0.3">
      <c r="B82" s="26" t="s">
        <v>22</v>
      </c>
      <c r="C82" s="27">
        <f t="shared" ref="C82:E82" si="63">SUM(C76:C81)</f>
        <v>153398</v>
      </c>
      <c r="D82" s="27">
        <f t="shared" si="63"/>
        <v>152948</v>
      </c>
      <c r="E82" s="27">
        <f t="shared" si="63"/>
        <v>154240</v>
      </c>
      <c r="F82" s="27">
        <f>SUM(F76:F81)</f>
        <v>160277</v>
      </c>
      <c r="G82" s="28">
        <f>SUM(G76:G81)</f>
        <v>162778</v>
      </c>
      <c r="H82" s="31"/>
      <c r="I82" s="32"/>
      <c r="J82" s="32"/>
      <c r="K82" s="32"/>
      <c r="L82" s="32"/>
    </row>
    <row r="83" spans="2:12" ht="15.75" x14ac:dyDescent="0.3">
      <c r="B83" s="10" t="s">
        <v>40</v>
      </c>
      <c r="C83" s="18">
        <v>5061</v>
      </c>
      <c r="D83" s="5">
        <v>5061</v>
      </c>
      <c r="E83" s="5">
        <v>5061</v>
      </c>
      <c r="F83" s="5">
        <v>5061</v>
      </c>
      <c r="G83" s="18">
        <v>5061</v>
      </c>
      <c r="H83" s="19"/>
    </row>
    <row r="84" spans="2:12" ht="15.75" x14ac:dyDescent="0.3">
      <c r="B84" s="10" t="s">
        <v>24</v>
      </c>
      <c r="C84" s="5">
        <v>9052</v>
      </c>
      <c r="D84" s="5">
        <v>9947</v>
      </c>
      <c r="E84" s="5">
        <v>10309</v>
      </c>
      <c r="F84" s="5">
        <v>18964</v>
      </c>
      <c r="G84" s="5">
        <v>21441</v>
      </c>
      <c r="H84" s="19"/>
    </row>
    <row r="85" spans="2:12" ht="15.75" x14ac:dyDescent="0.3">
      <c r="B85" s="10" t="s">
        <v>25</v>
      </c>
      <c r="C85" s="5">
        <v>-51861</v>
      </c>
      <c r="D85" s="5">
        <v>-50814</v>
      </c>
      <c r="E85" s="5">
        <v>-49549</v>
      </c>
      <c r="F85" s="5">
        <v>-32386</v>
      </c>
      <c r="G85" s="5">
        <v>-28029</v>
      </c>
      <c r="H85" s="19"/>
    </row>
    <row r="86" spans="2:12" ht="15.75" x14ac:dyDescent="0.3">
      <c r="B86" s="10" t="s">
        <v>26</v>
      </c>
      <c r="C86" s="5">
        <v>34408</v>
      </c>
      <c r="D86" s="5">
        <v>29473</v>
      </c>
      <c r="E86" s="5">
        <v>27251</v>
      </c>
      <c r="F86" s="5">
        <v>15362</v>
      </c>
      <c r="G86" s="5">
        <v>17252</v>
      </c>
      <c r="H86" s="19"/>
    </row>
    <row r="87" spans="2:12" ht="15.75" x14ac:dyDescent="0.3">
      <c r="B87" s="10" t="s">
        <v>41</v>
      </c>
      <c r="C87" s="18">
        <v>-11659</v>
      </c>
      <c r="D87" s="18">
        <v>-9550</v>
      </c>
      <c r="E87" s="18">
        <v>-10305</v>
      </c>
      <c r="F87" s="18">
        <v>-10915</v>
      </c>
      <c r="G87" s="18">
        <v>-10277</v>
      </c>
      <c r="H87" s="19"/>
    </row>
    <row r="88" spans="2:12" ht="15.75" x14ac:dyDescent="0.3">
      <c r="B88" s="6" t="s">
        <v>42</v>
      </c>
      <c r="C88" s="7">
        <f>SUM(C83:C87)</f>
        <v>-14999</v>
      </c>
      <c r="D88" s="7">
        <f>SUM(D83:D87)</f>
        <v>-15883</v>
      </c>
      <c r="E88" s="7">
        <f>SUM(E83:E87)</f>
        <v>-17233</v>
      </c>
      <c r="F88" s="7">
        <f>SUM(F83:F87)</f>
        <v>-3914</v>
      </c>
      <c r="G88" s="7">
        <f>SUM(G83:G87)</f>
        <v>5448</v>
      </c>
      <c r="H88" s="30"/>
      <c r="I88" s="29"/>
      <c r="J88" s="29"/>
      <c r="K88" s="29"/>
      <c r="L88" s="29"/>
    </row>
    <row r="89" spans="2:12" ht="15.75" x14ac:dyDescent="0.3">
      <c r="B89" s="4" t="s">
        <v>45</v>
      </c>
      <c r="C89" s="5">
        <v>0</v>
      </c>
      <c r="D89" s="5">
        <v>0</v>
      </c>
      <c r="E89" s="5">
        <v>0</v>
      </c>
      <c r="F89" s="5">
        <v>6</v>
      </c>
      <c r="G89" s="5">
        <v>6</v>
      </c>
      <c r="H89" s="19"/>
    </row>
    <row r="90" spans="2:12" ht="15.75" x14ac:dyDescent="0.3">
      <c r="B90" s="10" t="s">
        <v>43</v>
      </c>
      <c r="C90" s="18">
        <v>153</v>
      </c>
      <c r="D90" s="18">
        <v>35</v>
      </c>
      <c r="E90" s="18">
        <v>5</v>
      </c>
      <c r="F90" s="18">
        <v>-6</v>
      </c>
      <c r="G90" s="18">
        <v>3</v>
      </c>
      <c r="H90" s="19"/>
    </row>
    <row r="91" spans="2:12" ht="15.75" x14ac:dyDescent="0.3">
      <c r="B91" s="26" t="s">
        <v>27</v>
      </c>
      <c r="C91" s="27">
        <f>SUM(C88:C90)</f>
        <v>-14846</v>
      </c>
      <c r="D91" s="27">
        <f t="shared" ref="D91:G91" si="64">SUM(D88:D90)</f>
        <v>-15848</v>
      </c>
      <c r="E91" s="27">
        <f t="shared" si="64"/>
        <v>-17228</v>
      </c>
      <c r="F91" s="27">
        <f t="shared" si="64"/>
        <v>-3914</v>
      </c>
      <c r="G91" s="28">
        <f t="shared" si="64"/>
        <v>5457</v>
      </c>
      <c r="H91" s="31"/>
      <c r="I91" s="32"/>
      <c r="J91" s="32"/>
      <c r="K91" s="32"/>
      <c r="L91" s="32"/>
    </row>
    <row r="92" spans="2:12" ht="16.5" thickBot="1" x14ac:dyDescent="0.35">
      <c r="B92" s="12" t="s">
        <v>44</v>
      </c>
      <c r="C92" s="13">
        <f>SUM(C82+C91)</f>
        <v>138552</v>
      </c>
      <c r="D92" s="13">
        <f>SUM(D82+D91)</f>
        <v>137100</v>
      </c>
      <c r="E92" s="13">
        <f>SUM(E82+E91)</f>
        <v>137012</v>
      </c>
      <c r="F92" s="13">
        <f>SUM(F82+F91)</f>
        <v>156363</v>
      </c>
      <c r="G92" s="21">
        <f>SUM(G82+G91)</f>
        <v>168235</v>
      </c>
      <c r="H92" s="22"/>
      <c r="I92" s="23"/>
      <c r="J92" s="23"/>
      <c r="K92" s="23"/>
      <c r="L92" s="23"/>
    </row>
    <row r="93" spans="2:12" ht="16.5" thickTop="1" x14ac:dyDescent="0.3">
      <c r="B93" s="16" t="s">
        <v>117</v>
      </c>
      <c r="C93" s="44" t="str">
        <f>IF(C92=C71, "✓", "✗")</f>
        <v>✓</v>
      </c>
      <c r="D93" s="44" t="str">
        <f t="shared" ref="D93:G93" si="65">IF(D92=D71, "✓", "✗")</f>
        <v>✓</v>
      </c>
      <c r="E93" s="44" t="str">
        <f t="shared" si="65"/>
        <v>✓</v>
      </c>
      <c r="F93" s="44" t="str">
        <f t="shared" si="65"/>
        <v>✓</v>
      </c>
      <c r="G93" s="44" t="str">
        <f t="shared" si="65"/>
        <v>✓</v>
      </c>
    </row>
    <row r="94" spans="2:12" ht="15.75" x14ac:dyDescent="0.3">
      <c r="B94" s="10"/>
    </row>
    <row r="95" spans="2:12" ht="15.75" x14ac:dyDescent="0.3">
      <c r="B95" s="1" t="s">
        <v>48</v>
      </c>
      <c r="C95" s="2">
        <v>2021</v>
      </c>
      <c r="D95" s="2">
        <f t="shared" ref="D95" si="66">+C95+1</f>
        <v>2022</v>
      </c>
      <c r="E95" s="2">
        <f t="shared" ref="E95" si="67">+D95+1</f>
        <v>2023</v>
      </c>
      <c r="F95" s="2">
        <f t="shared" ref="F95" si="68">+E95+1</f>
        <v>2024</v>
      </c>
      <c r="G95" s="2">
        <f>+F95+1</f>
        <v>2025</v>
      </c>
      <c r="H95" s="2">
        <f t="shared" ref="H95" si="69">+G95+1</f>
        <v>2026</v>
      </c>
      <c r="I95" s="2">
        <f t="shared" ref="I95" si="70">+H95+1</f>
        <v>2027</v>
      </c>
      <c r="J95" s="2">
        <f t="shared" ref="J95" si="71">+I95+1</f>
        <v>2028</v>
      </c>
      <c r="K95" s="2">
        <f t="shared" ref="K95" si="72">+J95+1</f>
        <v>2029</v>
      </c>
      <c r="L95" s="2">
        <f t="shared" ref="L95" si="73">+K95+1</f>
        <v>2030</v>
      </c>
    </row>
    <row r="96" spans="2:12" ht="15.75" x14ac:dyDescent="0.3">
      <c r="B96" s="14" t="s">
        <v>49</v>
      </c>
      <c r="C96" s="5">
        <f>C45</f>
        <v>-4290</v>
      </c>
      <c r="D96" s="5">
        <f>D45</f>
        <v>-5053</v>
      </c>
      <c r="E96" s="5">
        <f>E45</f>
        <v>-2242</v>
      </c>
      <c r="F96" s="5">
        <f>F45</f>
        <v>-11829</v>
      </c>
      <c r="G96" s="5">
        <f>G45</f>
        <v>2238</v>
      </c>
      <c r="H96" s="19"/>
    </row>
    <row r="97" spans="2:8" ht="15.75" x14ac:dyDescent="0.3">
      <c r="B97" s="14" t="s">
        <v>60</v>
      </c>
      <c r="C97" s="5">
        <v>833</v>
      </c>
      <c r="D97" s="5">
        <v>725</v>
      </c>
      <c r="E97" s="5">
        <v>690</v>
      </c>
      <c r="F97" s="5">
        <v>407</v>
      </c>
      <c r="G97" s="5">
        <v>426</v>
      </c>
      <c r="H97" s="19"/>
    </row>
    <row r="98" spans="2:8" ht="15.75" x14ac:dyDescent="0.3">
      <c r="B98" s="14" t="s">
        <v>61</v>
      </c>
      <c r="C98" s="5">
        <v>1233</v>
      </c>
      <c r="D98" s="5">
        <v>1215</v>
      </c>
      <c r="E98" s="5">
        <v>1515</v>
      </c>
      <c r="F98" s="5">
        <v>1601</v>
      </c>
      <c r="G98" s="5">
        <v>1530</v>
      </c>
      <c r="H98" s="19"/>
    </row>
    <row r="99" spans="2:8" ht="15.75" x14ac:dyDescent="0.3">
      <c r="B99" s="14" t="s">
        <v>126</v>
      </c>
      <c r="C99" s="5">
        <v>2144</v>
      </c>
      <c r="D99" s="5">
        <v>1979</v>
      </c>
      <c r="E99" s="5">
        <v>1861</v>
      </c>
      <c r="F99" s="5">
        <v>1836</v>
      </c>
      <c r="G99" s="5">
        <v>1953</v>
      </c>
      <c r="H99" s="19"/>
    </row>
    <row r="100" spans="2:8" ht="15.75" x14ac:dyDescent="0.3">
      <c r="B100" s="14" t="s">
        <v>82</v>
      </c>
      <c r="C100" s="5">
        <v>98</v>
      </c>
      <c r="D100" s="5">
        <v>112</v>
      </c>
      <c r="E100" s="5">
        <v>46</v>
      </c>
      <c r="F100" s="5">
        <v>112</v>
      </c>
      <c r="G100" s="5">
        <v>45</v>
      </c>
      <c r="H100" s="19"/>
    </row>
    <row r="101" spans="2:8" ht="15.75" x14ac:dyDescent="0.3">
      <c r="B101" s="14" t="s">
        <v>83</v>
      </c>
      <c r="C101" s="5">
        <v>0</v>
      </c>
      <c r="D101" s="5">
        <v>37</v>
      </c>
      <c r="E101" s="5">
        <v>0</v>
      </c>
      <c r="F101" s="5">
        <v>0</v>
      </c>
      <c r="G101" s="5">
        <v>0</v>
      </c>
      <c r="H101" s="19"/>
    </row>
    <row r="102" spans="2:8" ht="15.75" x14ac:dyDescent="0.3">
      <c r="B102" s="16" t="s">
        <v>46</v>
      </c>
      <c r="C102" s="5">
        <v>-277</v>
      </c>
      <c r="D102" s="5">
        <v>-6</v>
      </c>
      <c r="E102" s="5">
        <v>-2</v>
      </c>
      <c r="F102" s="5">
        <v>-46</v>
      </c>
      <c r="G102" s="5">
        <v>-9672</v>
      </c>
      <c r="H102" s="19"/>
    </row>
    <row r="103" spans="2:8" ht="15.75" x14ac:dyDescent="0.3">
      <c r="B103" s="14" t="s">
        <v>62</v>
      </c>
      <c r="C103" s="5">
        <v>3460</v>
      </c>
      <c r="D103" s="5">
        <v>0</v>
      </c>
      <c r="E103" s="5">
        <v>0</v>
      </c>
      <c r="F103" s="5">
        <v>4079</v>
      </c>
      <c r="G103" s="5">
        <v>5283</v>
      </c>
      <c r="H103" s="19"/>
    </row>
    <row r="104" spans="2:8" ht="15.75" x14ac:dyDescent="0.3">
      <c r="B104" s="16" t="s">
        <v>63</v>
      </c>
      <c r="C104" s="5">
        <v>360</v>
      </c>
      <c r="D104" s="5">
        <v>364</v>
      </c>
      <c r="E104" s="5">
        <v>3</v>
      </c>
      <c r="F104" s="5">
        <v>528</v>
      </c>
      <c r="G104" s="5">
        <v>264</v>
      </c>
      <c r="H104" s="19"/>
    </row>
    <row r="105" spans="2:8" ht="15.75" x14ac:dyDescent="0.3">
      <c r="B105" s="36" t="s">
        <v>51</v>
      </c>
      <c r="C105" s="29"/>
      <c r="D105" s="29"/>
      <c r="E105" s="29"/>
      <c r="F105" s="29"/>
      <c r="G105" s="37"/>
    </row>
    <row r="106" spans="2:8" ht="15.75" x14ac:dyDescent="0.3">
      <c r="B106" s="14" t="s">
        <v>52</v>
      </c>
      <c r="C106" s="18">
        <v>-713</v>
      </c>
      <c r="D106" s="18">
        <v>142</v>
      </c>
      <c r="E106" s="18">
        <v>-128</v>
      </c>
      <c r="F106" s="18">
        <v>-37</v>
      </c>
      <c r="G106" s="38">
        <v>-95</v>
      </c>
    </row>
    <row r="107" spans="2:8" ht="15.75" x14ac:dyDescent="0.3">
      <c r="B107" s="14" t="s">
        <v>28</v>
      </c>
      <c r="C107" s="18">
        <v>-586</v>
      </c>
      <c r="D107" s="18">
        <v>6</v>
      </c>
      <c r="E107" s="18">
        <v>321</v>
      </c>
      <c r="F107" s="18">
        <v>-60</v>
      </c>
      <c r="G107" s="38">
        <v>-677</v>
      </c>
    </row>
    <row r="108" spans="2:8" ht="15.75" x14ac:dyDescent="0.3">
      <c r="B108" s="14" t="s">
        <v>53</v>
      </c>
      <c r="C108" s="18">
        <v>2505</v>
      </c>
      <c r="D108" s="18">
        <v>108</v>
      </c>
      <c r="E108" s="18">
        <v>3365</v>
      </c>
      <c r="F108" s="18">
        <v>4069</v>
      </c>
      <c r="G108" s="38">
        <v>-723</v>
      </c>
    </row>
    <row r="109" spans="2:8" ht="15.75" x14ac:dyDescent="0.3">
      <c r="B109" s="14" t="s">
        <v>54</v>
      </c>
      <c r="C109" s="18">
        <v>-1127</v>
      </c>
      <c r="D109" s="18">
        <v>420</v>
      </c>
      <c r="E109" s="18">
        <v>-1681</v>
      </c>
      <c r="F109" s="18">
        <v>-12353</v>
      </c>
      <c r="G109" s="38">
        <v>-1501</v>
      </c>
    </row>
    <row r="110" spans="2:8" ht="15.75" x14ac:dyDescent="0.3">
      <c r="B110" s="14" t="s">
        <v>19</v>
      </c>
      <c r="C110" s="18">
        <v>345</v>
      </c>
      <c r="D110" s="18">
        <v>-591</v>
      </c>
      <c r="E110" s="18">
        <v>389</v>
      </c>
      <c r="F110" s="18">
        <v>-16</v>
      </c>
      <c r="G110" s="38">
        <v>155</v>
      </c>
    </row>
    <row r="111" spans="2:8" ht="15.75" x14ac:dyDescent="0.3">
      <c r="B111" s="14" t="s">
        <v>16</v>
      </c>
      <c r="C111" s="18">
        <v>-3783</v>
      </c>
      <c r="D111" s="18">
        <v>838</v>
      </c>
      <c r="E111" s="18">
        <v>1672</v>
      </c>
      <c r="F111" s="18">
        <v>-793</v>
      </c>
      <c r="G111" s="38">
        <v>724</v>
      </c>
    </row>
    <row r="112" spans="2:8" ht="15.75" x14ac:dyDescent="0.3">
      <c r="B112" s="14" t="s">
        <v>34</v>
      </c>
      <c r="C112" s="18">
        <v>-3687</v>
      </c>
      <c r="D112" s="18">
        <v>2956</v>
      </c>
      <c r="E112" s="18">
        <v>779</v>
      </c>
      <c r="F112" s="18">
        <v>1563</v>
      </c>
      <c r="G112" s="38">
        <v>1341</v>
      </c>
    </row>
    <row r="113" spans="2:7" ht="15.75" x14ac:dyDescent="0.3">
      <c r="B113" s="14" t="s">
        <v>64</v>
      </c>
      <c r="C113" s="18">
        <v>733</v>
      </c>
      <c r="D113" s="18">
        <v>1347</v>
      </c>
      <c r="E113" s="18">
        <v>44</v>
      </c>
      <c r="F113" s="18">
        <v>-567</v>
      </c>
      <c r="G113" s="38">
        <v>115</v>
      </c>
    </row>
    <row r="114" spans="2:7" ht="15.75" x14ac:dyDescent="0.3">
      <c r="B114" s="14" t="s">
        <v>39</v>
      </c>
      <c r="C114" s="18">
        <v>-206</v>
      </c>
      <c r="D114" s="18">
        <v>-158</v>
      </c>
      <c r="E114" s="18">
        <v>-313</v>
      </c>
      <c r="F114" s="18">
        <v>-329</v>
      </c>
      <c r="G114" s="38">
        <v>-346</v>
      </c>
    </row>
    <row r="115" spans="2:7" ht="15.75" x14ac:dyDescent="0.3">
      <c r="B115" s="14" t="s">
        <v>65</v>
      </c>
      <c r="C115" s="18">
        <v>-972</v>
      </c>
      <c r="D115" s="18">
        <v>-1378</v>
      </c>
      <c r="E115" s="18">
        <v>-1049</v>
      </c>
      <c r="F115" s="18">
        <v>-959</v>
      </c>
      <c r="G115" s="38">
        <v>-593</v>
      </c>
    </row>
    <row r="116" spans="2:7" ht="15.75" x14ac:dyDescent="0.3">
      <c r="B116" s="14" t="s">
        <v>127</v>
      </c>
      <c r="C116" s="18">
        <v>210</v>
      </c>
      <c r="D116" s="18">
        <v>142</v>
      </c>
      <c r="E116" s="18">
        <v>571</v>
      </c>
      <c r="F116" s="18">
        <v>512</v>
      </c>
      <c r="G116" s="38">
        <v>274</v>
      </c>
    </row>
    <row r="117" spans="2:7" ht="15.75" x14ac:dyDescent="0.3">
      <c r="B117" s="14" t="s">
        <v>66</v>
      </c>
      <c r="C117" s="18">
        <v>304</v>
      </c>
      <c r="D117" s="18">
        <v>307</v>
      </c>
      <c r="E117" s="18">
        <v>119</v>
      </c>
      <c r="F117" s="18">
        <v>202</v>
      </c>
      <c r="G117" s="38">
        <v>324</v>
      </c>
    </row>
    <row r="118" spans="2:7" ht="15.75" x14ac:dyDescent="0.3">
      <c r="B118" s="35" t="s">
        <v>55</v>
      </c>
      <c r="C118" s="27">
        <f>SUM(C96:C117)</f>
        <v>-3416</v>
      </c>
      <c r="D118" s="27">
        <f>SUM(D96:D117)</f>
        <v>3512</v>
      </c>
      <c r="E118" s="27">
        <f>SUM(E96:E117)</f>
        <v>5960</v>
      </c>
      <c r="F118" s="27">
        <f>SUM(F96:F117)</f>
        <v>-12080</v>
      </c>
      <c r="G118" s="28">
        <f>SUM(G96:G117)</f>
        <v>1065</v>
      </c>
    </row>
    <row r="119" spans="2:7" ht="15.75" x14ac:dyDescent="0.3">
      <c r="B119" s="14" t="s">
        <v>115</v>
      </c>
      <c r="C119" s="18">
        <v>-980</v>
      </c>
      <c r="D119" s="18">
        <v>-1222</v>
      </c>
      <c r="E119" s="18">
        <v>-1527</v>
      </c>
      <c r="F119" s="18">
        <v>-2230</v>
      </c>
      <c r="G119" s="39">
        <v>-2942</v>
      </c>
    </row>
    <row r="120" spans="2:7" ht="15.75" x14ac:dyDescent="0.3">
      <c r="B120" s="14" t="s">
        <v>67</v>
      </c>
      <c r="C120" s="18">
        <v>529</v>
      </c>
      <c r="D120" s="18">
        <v>35</v>
      </c>
      <c r="E120" s="18">
        <v>27</v>
      </c>
      <c r="F120" s="18">
        <v>49</v>
      </c>
      <c r="G120" s="38">
        <v>82</v>
      </c>
    </row>
    <row r="121" spans="2:7" ht="15.75" x14ac:dyDescent="0.3">
      <c r="B121" s="14" t="s">
        <v>70</v>
      </c>
      <c r="C121" s="18">
        <v>-6</v>
      </c>
      <c r="D121" s="18">
        <v>0</v>
      </c>
      <c r="E121" s="18">
        <v>-70</v>
      </c>
      <c r="F121" s="18">
        <v>-50</v>
      </c>
      <c r="G121" s="38">
        <v>-1248</v>
      </c>
    </row>
    <row r="122" spans="2:7" ht="15.75" x14ac:dyDescent="0.3">
      <c r="B122" s="14" t="s">
        <v>69</v>
      </c>
      <c r="C122" s="18">
        <v>0</v>
      </c>
      <c r="D122" s="18">
        <v>0</v>
      </c>
      <c r="E122" s="18">
        <v>0</v>
      </c>
      <c r="F122" s="18">
        <v>124</v>
      </c>
      <c r="G122" s="38">
        <v>10585</v>
      </c>
    </row>
    <row r="123" spans="2:7" ht="15.75" x14ac:dyDescent="0.3">
      <c r="B123" s="14" t="s">
        <v>68</v>
      </c>
      <c r="C123" s="18">
        <v>-35713</v>
      </c>
      <c r="D123" s="18">
        <v>-5051</v>
      </c>
      <c r="E123" s="18">
        <v>-16448</v>
      </c>
      <c r="F123" s="18">
        <v>-13856</v>
      </c>
      <c r="G123" s="38">
        <v>-51938</v>
      </c>
    </row>
    <row r="124" spans="2:7" ht="15.75" x14ac:dyDescent="0.3">
      <c r="B124" s="14" t="s">
        <v>71</v>
      </c>
      <c r="C124" s="18">
        <v>45489</v>
      </c>
      <c r="D124" s="18">
        <v>10619</v>
      </c>
      <c r="E124" s="18">
        <v>15739</v>
      </c>
      <c r="F124" s="18">
        <v>4743</v>
      </c>
      <c r="G124" s="38">
        <v>46628</v>
      </c>
    </row>
    <row r="125" spans="2:7" ht="15.75" x14ac:dyDescent="0.3">
      <c r="B125" s="14" t="s">
        <v>72</v>
      </c>
      <c r="C125" s="18">
        <v>0</v>
      </c>
      <c r="D125" s="18">
        <v>0</v>
      </c>
      <c r="E125" s="18">
        <f>-162</f>
        <v>-162</v>
      </c>
      <c r="F125" s="18">
        <v>-694</v>
      </c>
      <c r="G125" s="38">
        <v>-662</v>
      </c>
    </row>
    <row r="126" spans="2:7" ht="15.75" x14ac:dyDescent="0.3">
      <c r="B126" s="14" t="s">
        <v>73</v>
      </c>
      <c r="C126" s="18">
        <v>0</v>
      </c>
      <c r="D126" s="18">
        <v>0</v>
      </c>
      <c r="E126" s="18"/>
      <c r="F126" s="18">
        <v>40</v>
      </c>
      <c r="G126" s="38">
        <v>2</v>
      </c>
    </row>
    <row r="127" spans="2:7" ht="15.75" x14ac:dyDescent="0.3">
      <c r="B127" s="16" t="s">
        <v>74</v>
      </c>
      <c r="C127" s="18">
        <v>0</v>
      </c>
      <c r="D127" s="18">
        <v>0</v>
      </c>
      <c r="E127" s="18"/>
      <c r="F127" s="18">
        <v>-88</v>
      </c>
      <c r="G127" s="38">
        <v>-9</v>
      </c>
    </row>
    <row r="128" spans="2:7" ht="15.75" x14ac:dyDescent="0.3">
      <c r="B128" s="16" t="s">
        <v>75</v>
      </c>
      <c r="C128" s="18">
        <v>5</v>
      </c>
      <c r="D128" s="18">
        <v>-11</v>
      </c>
      <c r="E128" s="18">
        <v>4</v>
      </c>
      <c r="F128" s="18">
        <v>-11</v>
      </c>
      <c r="G128" s="40">
        <v>1</v>
      </c>
    </row>
    <row r="129" spans="2:7" ht="15.75" x14ac:dyDescent="0.3">
      <c r="B129" s="35" t="s">
        <v>57</v>
      </c>
      <c r="C129" s="27">
        <f>SUM(C119:C128)</f>
        <v>9324</v>
      </c>
      <c r="D129" s="27">
        <f t="shared" ref="D129:G129" si="74">SUM(D119:D128)</f>
        <v>4370</v>
      </c>
      <c r="E129" s="27">
        <f t="shared" si="74"/>
        <v>-2437</v>
      </c>
      <c r="F129" s="27">
        <f t="shared" si="74"/>
        <v>-11973</v>
      </c>
      <c r="G129" s="28">
        <f t="shared" si="74"/>
        <v>499</v>
      </c>
    </row>
    <row r="130" spans="2:7" ht="15.75" x14ac:dyDescent="0.3">
      <c r="B130" s="14" t="s">
        <v>76</v>
      </c>
      <c r="C130" s="18">
        <v>9795</v>
      </c>
      <c r="D130" s="18">
        <v>34</v>
      </c>
      <c r="E130" s="18">
        <v>75</v>
      </c>
      <c r="F130" s="18">
        <v>10161</v>
      </c>
      <c r="G130" s="38">
        <v>165</v>
      </c>
    </row>
    <row r="131" spans="2:7" ht="15.75" x14ac:dyDescent="0.3">
      <c r="B131" s="14" t="s">
        <v>77</v>
      </c>
      <c r="C131" s="18">
        <v>-15371</v>
      </c>
      <c r="D131" s="18">
        <v>-1310</v>
      </c>
      <c r="E131" s="18">
        <v>-5216</v>
      </c>
      <c r="F131" s="18">
        <v>-8673</v>
      </c>
      <c r="G131" s="38">
        <v>-3621</v>
      </c>
    </row>
    <row r="132" spans="2:7" ht="15.75" x14ac:dyDescent="0.3">
      <c r="B132" s="14" t="s">
        <v>84</v>
      </c>
      <c r="C132" s="18">
        <v>0</v>
      </c>
      <c r="D132" s="18">
        <v>0</v>
      </c>
      <c r="E132" s="18">
        <v>0</v>
      </c>
      <c r="F132" s="18">
        <v>18200</v>
      </c>
      <c r="G132" s="38">
        <v>0</v>
      </c>
    </row>
    <row r="133" spans="2:7" ht="15.75" x14ac:dyDescent="0.3">
      <c r="B133" s="14" t="s">
        <v>78</v>
      </c>
      <c r="C133" s="18">
        <v>0</v>
      </c>
      <c r="D133" s="18">
        <v>0</v>
      </c>
      <c r="E133" s="18">
        <v>0</v>
      </c>
      <c r="F133" s="18">
        <v>5657</v>
      </c>
      <c r="G133" s="38">
        <v>0</v>
      </c>
    </row>
    <row r="134" spans="2:7" ht="15.75" x14ac:dyDescent="0.3">
      <c r="B134" s="16" t="s">
        <v>79</v>
      </c>
      <c r="C134" s="18">
        <v>42</v>
      </c>
      <c r="D134" s="18">
        <v>50</v>
      </c>
      <c r="E134" s="18">
        <v>45</v>
      </c>
      <c r="F134" s="18">
        <v>0</v>
      </c>
      <c r="G134" s="38">
        <v>0</v>
      </c>
    </row>
    <row r="135" spans="2:7" ht="15.75" x14ac:dyDescent="0.3">
      <c r="B135" s="16" t="s">
        <v>80</v>
      </c>
      <c r="C135" s="18">
        <v>-66</v>
      </c>
      <c r="D135" s="18">
        <v>-40</v>
      </c>
      <c r="E135" s="18">
        <v>-408</v>
      </c>
      <c r="F135" s="18">
        <v>-83</v>
      </c>
      <c r="G135" s="38">
        <v>-34</v>
      </c>
    </row>
    <row r="136" spans="2:7" ht="15.75" x14ac:dyDescent="0.3">
      <c r="B136" s="16" t="s">
        <v>81</v>
      </c>
      <c r="C136" s="18">
        <v>0</v>
      </c>
      <c r="D136" s="18">
        <v>0</v>
      </c>
      <c r="E136" s="18">
        <v>0</v>
      </c>
      <c r="F136" s="18">
        <v>0</v>
      </c>
      <c r="G136" s="38">
        <v>-331</v>
      </c>
    </row>
    <row r="137" spans="2:7" ht="15.75" x14ac:dyDescent="0.3">
      <c r="B137" s="16" t="s">
        <v>75</v>
      </c>
      <c r="C137" s="18">
        <v>0</v>
      </c>
      <c r="D137" s="18">
        <v>0</v>
      </c>
      <c r="E137" s="18">
        <v>17</v>
      </c>
      <c r="F137" s="18">
        <v>-53</v>
      </c>
      <c r="G137" s="38">
        <v>58</v>
      </c>
    </row>
    <row r="138" spans="2:7" ht="15.75" x14ac:dyDescent="0.3">
      <c r="B138" s="41" t="s">
        <v>58</v>
      </c>
      <c r="C138" s="27">
        <f t="shared" ref="C138:E138" si="75">SUM(C130:C137)</f>
        <v>-5600</v>
      </c>
      <c r="D138" s="27">
        <f t="shared" si="75"/>
        <v>-1266</v>
      </c>
      <c r="E138" s="27">
        <f t="shared" si="75"/>
        <v>-5487</v>
      </c>
      <c r="F138" s="27">
        <f>SUM(F130:F137)</f>
        <v>25209</v>
      </c>
      <c r="G138" s="28">
        <f>SUM(G130:G137)</f>
        <v>-3763</v>
      </c>
    </row>
    <row r="139" spans="2:7" ht="15.75" x14ac:dyDescent="0.3">
      <c r="B139" s="16" t="s">
        <v>85</v>
      </c>
      <c r="C139" s="18">
        <v>-39</v>
      </c>
      <c r="D139" s="18">
        <v>-73</v>
      </c>
      <c r="E139" s="18">
        <v>30</v>
      </c>
      <c r="F139" s="18">
        <v>-47</v>
      </c>
      <c r="G139" s="39">
        <v>40</v>
      </c>
    </row>
    <row r="140" spans="2:7" ht="16.5" thickBot="1" x14ac:dyDescent="0.35">
      <c r="B140" s="33" t="s">
        <v>59</v>
      </c>
      <c r="C140" s="13">
        <f>SUM(C138,C129,C118,C139)</f>
        <v>269</v>
      </c>
      <c r="D140" s="13">
        <f>SUM(D138,D129,D118,D139)</f>
        <v>6543</v>
      </c>
      <c r="E140" s="13">
        <f>SUM(E138,E129,E118,E139)</f>
        <v>-1934</v>
      </c>
      <c r="F140" s="13">
        <f>SUM(F138,F129,F118,F139)</f>
        <v>1109</v>
      </c>
      <c r="G140" s="21">
        <f>SUM(G138,G129,G118,G139)</f>
        <v>-2159</v>
      </c>
    </row>
    <row r="141" spans="2:7" ht="16.5" thickTop="1" x14ac:dyDescent="0.3">
      <c r="B141" s="16" t="s">
        <v>87</v>
      </c>
      <c r="C141" s="18">
        <v>7835</v>
      </c>
      <c r="D141" s="18">
        <v>8104</v>
      </c>
      <c r="E141" s="18">
        <v>14647</v>
      </c>
      <c r="F141" s="18">
        <v>12713</v>
      </c>
      <c r="G141" s="38">
        <v>13822</v>
      </c>
    </row>
    <row r="142" spans="2:7" ht="15.75" x14ac:dyDescent="0.3">
      <c r="B142" s="16" t="s">
        <v>86</v>
      </c>
      <c r="C142" s="18">
        <v>8104</v>
      </c>
      <c r="D142" s="18">
        <v>14647</v>
      </c>
      <c r="E142" s="18">
        <v>12713</v>
      </c>
      <c r="F142" s="18">
        <v>13822</v>
      </c>
      <c r="G142" s="38">
        <v>11663</v>
      </c>
    </row>
    <row r="143" spans="2:7" ht="15.75" x14ac:dyDescent="0.3">
      <c r="B143" s="16" t="s">
        <v>88</v>
      </c>
      <c r="C143" s="18">
        <v>52</v>
      </c>
      <c r="D143" s="18">
        <v>33</v>
      </c>
      <c r="E143" s="18">
        <v>22</v>
      </c>
      <c r="F143" s="18">
        <v>21</v>
      </c>
      <c r="G143" s="38">
        <v>742</v>
      </c>
    </row>
    <row r="144" spans="2:7" ht="16.5" thickBot="1" x14ac:dyDescent="0.35">
      <c r="B144" s="33" t="s">
        <v>89</v>
      </c>
      <c r="C144" s="42">
        <f>SUM(C142-C143)</f>
        <v>8052</v>
      </c>
      <c r="D144" s="42">
        <f>SUM(D142-D143)</f>
        <v>14614</v>
      </c>
      <c r="E144" s="42">
        <f>SUM(E142-E143)</f>
        <v>12691</v>
      </c>
      <c r="F144" s="42">
        <f>SUM(F142-F143)</f>
        <v>13801</v>
      </c>
      <c r="G144" s="43">
        <f>SUM(G142-G143)</f>
        <v>10921</v>
      </c>
    </row>
    <row r="145" spans="2:7" ht="16.5" thickTop="1" x14ac:dyDescent="0.3">
      <c r="B145" s="16" t="s">
        <v>116</v>
      </c>
      <c r="C145" s="44" t="str">
        <f>IF(C144=C56, "✓", "✗")</f>
        <v>✓</v>
      </c>
      <c r="D145" s="44" t="str">
        <f t="shared" ref="D145:G145" si="76">IF(D144=D56, "✓", "✗")</f>
        <v>✓</v>
      </c>
      <c r="E145" s="44" t="str">
        <f t="shared" si="76"/>
        <v>✓</v>
      </c>
      <c r="F145" s="44" t="str">
        <f t="shared" si="76"/>
        <v>✓</v>
      </c>
      <c r="G145" s="45" t="str">
        <f t="shared" si="76"/>
        <v>✓</v>
      </c>
    </row>
  </sheetData>
  <pageMargins left="0.7" right="0.7" top="0.75" bottom="0.75" header="0.3" footer="0.3"/>
  <pageSetup orientation="portrait" horizontalDpi="1200" verticalDpi="1200" r:id="rId1"/>
  <ignoredErrors>
    <ignoredError sqref="C63 C118 H46 H41 H39 H52 H50" formulaRange="1"/>
    <ignoredError sqref="H51 I51:L51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3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Nguyen</dc:creator>
  <cp:lastModifiedBy>Tim Nguyen</cp:lastModifiedBy>
  <dcterms:created xsi:type="dcterms:W3CDTF">2026-04-18T04:58:16Z</dcterms:created>
  <dcterms:modified xsi:type="dcterms:W3CDTF">2026-04-25T06:43:04Z</dcterms:modified>
</cp:coreProperties>
</file>