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\Desktop\"/>
    </mc:Choice>
  </mc:AlternateContent>
  <xr:revisionPtr revIDLastSave="0" documentId="13_ncr:1_{869FCCA9-F6D5-4CF3-8B62-6FE31FAB2E7D}" xr6:coauthVersionLast="47" xr6:coauthVersionMax="47" xr10:uidLastSave="{00000000-0000-0000-0000-000000000000}"/>
  <bookViews>
    <workbookView xWindow="-120" yWindow="-120" windowWidth="29040" windowHeight="15720" activeTab="1" xr2:uid="{63A9B8CA-83BF-48D9-A8B6-530B504F47C6}"/>
  </bookViews>
  <sheets>
    <sheet name="Cover" sheetId="1" r:id="rId1"/>
    <sheet name="3 Statement" sheetId="3" r:id="rId2"/>
  </sheets>
  <definedNames>
    <definedName name="Company_Name">Cover!#REF!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6" i="3" l="1"/>
  <c r="I26" i="3"/>
  <c r="J26" i="3"/>
  <c r="K26" i="3"/>
  <c r="L26" i="3"/>
  <c r="H25" i="3"/>
  <c r="I25" i="3"/>
  <c r="J25" i="3"/>
  <c r="K25" i="3"/>
  <c r="L25" i="3"/>
  <c r="I22" i="3"/>
  <c r="J22" i="3"/>
  <c r="K22" i="3"/>
  <c r="L22" i="3"/>
  <c r="H22" i="3"/>
  <c r="I16" i="3"/>
  <c r="J16" i="3"/>
  <c r="K16" i="3"/>
  <c r="L16" i="3"/>
  <c r="H16" i="3"/>
  <c r="I15" i="3"/>
  <c r="J15" i="3"/>
  <c r="K15" i="3"/>
  <c r="L15" i="3"/>
  <c r="H15" i="3"/>
  <c r="H7" i="3"/>
  <c r="H81" i="3"/>
  <c r="I81" i="3" s="1"/>
  <c r="J81" i="3" s="1"/>
  <c r="K81" i="3" s="1"/>
  <c r="L81" i="3" s="1"/>
  <c r="H87" i="3"/>
  <c r="I87" i="3"/>
  <c r="J87" i="3"/>
  <c r="L87" i="3" s="1"/>
  <c r="K87" i="3"/>
  <c r="I66" i="3"/>
  <c r="J66" i="3" s="1"/>
  <c r="K66" i="3" s="1"/>
  <c r="L66" i="3" s="1"/>
  <c r="H66" i="3"/>
  <c r="H65" i="3"/>
  <c r="G20" i="3"/>
  <c r="I143" i="3"/>
  <c r="J143" i="3" s="1"/>
  <c r="H143" i="3"/>
  <c r="H139" i="3"/>
  <c r="I139" i="3" s="1"/>
  <c r="H141" i="3"/>
  <c r="H138" i="3"/>
  <c r="I138" i="3"/>
  <c r="J138" i="3"/>
  <c r="K138" i="3"/>
  <c r="L138" i="3"/>
  <c r="H137" i="3"/>
  <c r="I137" i="3" s="1"/>
  <c r="J137" i="3" s="1"/>
  <c r="K137" i="3" s="1"/>
  <c r="L137" i="3" s="1"/>
  <c r="I136" i="3"/>
  <c r="J136" i="3" s="1"/>
  <c r="K136" i="3" s="1"/>
  <c r="L136" i="3" s="1"/>
  <c r="H136" i="3"/>
  <c r="I135" i="3"/>
  <c r="H135" i="3"/>
  <c r="I134" i="3"/>
  <c r="J134" i="3" s="1"/>
  <c r="K134" i="3" s="1"/>
  <c r="L134" i="3" s="1"/>
  <c r="H134" i="3"/>
  <c r="I131" i="3"/>
  <c r="J131" i="3" s="1"/>
  <c r="K131" i="3" s="1"/>
  <c r="L131" i="3" s="1"/>
  <c r="H131" i="3"/>
  <c r="I130" i="3"/>
  <c r="J130" i="3"/>
  <c r="K130" i="3" s="1"/>
  <c r="L130" i="3" s="1"/>
  <c r="H130" i="3"/>
  <c r="H129" i="3"/>
  <c r="I129" i="3"/>
  <c r="J129" i="3"/>
  <c r="K129" i="3"/>
  <c r="L129" i="3"/>
  <c r="I128" i="3"/>
  <c r="J128" i="3"/>
  <c r="K128" i="3"/>
  <c r="L128" i="3"/>
  <c r="H128" i="3"/>
  <c r="I125" i="3"/>
  <c r="J125" i="3"/>
  <c r="K125" i="3" s="1"/>
  <c r="L125" i="3" s="1"/>
  <c r="H125" i="3"/>
  <c r="I124" i="3"/>
  <c r="J124" i="3"/>
  <c r="K124" i="3"/>
  <c r="L124" i="3"/>
  <c r="H124" i="3"/>
  <c r="I123" i="3"/>
  <c r="K123" i="3" s="1"/>
  <c r="L123" i="3" s="1"/>
  <c r="J123" i="3"/>
  <c r="H123" i="3"/>
  <c r="H120" i="3"/>
  <c r="I120" i="3" s="1"/>
  <c r="H116" i="3"/>
  <c r="I116" i="3"/>
  <c r="J116" i="3"/>
  <c r="K116" i="3"/>
  <c r="L116" i="3"/>
  <c r="I114" i="3"/>
  <c r="J114" i="3"/>
  <c r="K114" i="3"/>
  <c r="L114" i="3"/>
  <c r="H114" i="3"/>
  <c r="I113" i="3"/>
  <c r="J113" i="3"/>
  <c r="K113" i="3"/>
  <c r="L113" i="3"/>
  <c r="H113" i="3"/>
  <c r="I112" i="3"/>
  <c r="J112" i="3"/>
  <c r="K112" i="3"/>
  <c r="L112" i="3"/>
  <c r="H112" i="3"/>
  <c r="H117" i="3"/>
  <c r="I117" i="3" s="1"/>
  <c r="J117" i="3" s="1"/>
  <c r="I115" i="3"/>
  <c r="K115" i="3" s="1"/>
  <c r="J115" i="3"/>
  <c r="H115" i="3"/>
  <c r="H104" i="3"/>
  <c r="I104" i="3" s="1"/>
  <c r="H90" i="3"/>
  <c r="I90" i="3" s="1"/>
  <c r="J90" i="3" s="1"/>
  <c r="K90" i="3" s="1"/>
  <c r="L90" i="3" s="1"/>
  <c r="H89" i="3"/>
  <c r="L143" i="3" l="1"/>
  <c r="K143" i="3"/>
  <c r="K139" i="3"/>
  <c r="J139" i="3"/>
  <c r="J135" i="3"/>
  <c r="K135" i="3" s="1"/>
  <c r="K120" i="3"/>
  <c r="L120" i="3" s="1"/>
  <c r="J120" i="3"/>
  <c r="L115" i="3"/>
  <c r="K117" i="3"/>
  <c r="L117" i="3" s="1"/>
  <c r="J104" i="3"/>
  <c r="H98" i="3"/>
  <c r="H97" i="3"/>
  <c r="I97" i="3" s="1"/>
  <c r="J97" i="3" s="1"/>
  <c r="L139" i="3" l="1"/>
  <c r="L135" i="3"/>
  <c r="H85" i="3"/>
  <c r="H84" i="3"/>
  <c r="I84" i="3" s="1"/>
  <c r="J84" i="3" s="1"/>
  <c r="I98" i="3"/>
  <c r="J98" i="3" s="1"/>
  <c r="K104" i="3"/>
  <c r="L104" i="3" s="1"/>
  <c r="K97" i="3"/>
  <c r="L97" i="3" s="1"/>
  <c r="H83" i="3"/>
  <c r="I83" i="3" s="1"/>
  <c r="J83" i="3" s="1"/>
  <c r="K83" i="3" s="1"/>
  <c r="L83" i="3" s="1"/>
  <c r="H77" i="3"/>
  <c r="H80" i="3"/>
  <c r="I80" i="3" s="1"/>
  <c r="J80" i="3" s="1"/>
  <c r="K80" i="3" s="1"/>
  <c r="L80" i="3" s="1"/>
  <c r="H75" i="3"/>
  <c r="I75" i="3"/>
  <c r="J75" i="3" s="1"/>
  <c r="K75" i="3" s="1"/>
  <c r="L75" i="3" s="1"/>
  <c r="H69" i="3"/>
  <c r="I69" i="3" s="1"/>
  <c r="J69" i="3" s="1"/>
  <c r="K69" i="3" s="1"/>
  <c r="L69" i="3" s="1"/>
  <c r="H68" i="3"/>
  <c r="I68" i="3" s="1"/>
  <c r="J68" i="3" s="1"/>
  <c r="K68" i="3" s="1"/>
  <c r="L68" i="3" s="1"/>
  <c r="H67" i="3"/>
  <c r="I67" i="3" s="1"/>
  <c r="J67" i="3" s="1"/>
  <c r="H119" i="3"/>
  <c r="I77" i="3" l="1"/>
  <c r="J77" i="3" s="1"/>
  <c r="K77" i="3" s="1"/>
  <c r="L77" i="3" s="1"/>
  <c r="I85" i="3"/>
  <c r="J85" i="3" s="1"/>
  <c r="K85" i="3" s="1"/>
  <c r="K98" i="3"/>
  <c r="L98" i="3" s="1"/>
  <c r="I119" i="3"/>
  <c r="J119" i="3" s="1"/>
  <c r="K84" i="3"/>
  <c r="L84" i="3" s="1"/>
  <c r="K67" i="3"/>
  <c r="L67" i="3" s="1"/>
  <c r="L85" i="3" l="1"/>
  <c r="K119" i="3"/>
  <c r="L119" i="3" s="1"/>
  <c r="G76" i="3" l="1"/>
  <c r="H59" i="3"/>
  <c r="H60" i="3"/>
  <c r="I60" i="3" s="1"/>
  <c r="J60" i="3" s="1"/>
  <c r="K60" i="3" s="1"/>
  <c r="L60" i="3" s="1"/>
  <c r="H57" i="3"/>
  <c r="I57" i="3" s="1"/>
  <c r="J57" i="3" s="1"/>
  <c r="K57" i="3" s="1"/>
  <c r="L57" i="3" s="1"/>
  <c r="I59" i="3" l="1"/>
  <c r="H107" i="3"/>
  <c r="J59" i="3" l="1"/>
  <c r="I107" i="3"/>
  <c r="J107" i="3" l="1"/>
  <c r="K59" i="3"/>
  <c r="H4" i="3"/>
  <c r="E4" i="3"/>
  <c r="F4" i="3"/>
  <c r="G4" i="3"/>
  <c r="D4" i="3"/>
  <c r="K107" i="3" l="1"/>
  <c r="L59" i="3"/>
  <c r="L107" i="3" s="1"/>
  <c r="H74" i="3"/>
  <c r="H108" i="3" s="1"/>
  <c r="H73" i="3"/>
  <c r="H70" i="3"/>
  <c r="H62" i="3"/>
  <c r="D26" i="3"/>
  <c r="E26" i="3"/>
  <c r="F26" i="3"/>
  <c r="G26" i="3"/>
  <c r="D27" i="3"/>
  <c r="E27" i="3"/>
  <c r="F27" i="3"/>
  <c r="G27" i="3"/>
  <c r="D24" i="3"/>
  <c r="E24" i="3"/>
  <c r="F24" i="3"/>
  <c r="G24" i="3"/>
  <c r="C24" i="3"/>
  <c r="D22" i="3"/>
  <c r="E22" i="3"/>
  <c r="F22" i="3"/>
  <c r="G22" i="3"/>
  <c r="C22" i="3"/>
  <c r="D21" i="3"/>
  <c r="E21" i="3"/>
  <c r="F21" i="3"/>
  <c r="G21" i="3"/>
  <c r="C21" i="3"/>
  <c r="D20" i="3"/>
  <c r="E20" i="3"/>
  <c r="F20" i="3"/>
  <c r="C20" i="3"/>
  <c r="D19" i="3"/>
  <c r="E19" i="3"/>
  <c r="F19" i="3"/>
  <c r="G19" i="3"/>
  <c r="C19" i="3"/>
  <c r="D17" i="3"/>
  <c r="E17" i="3"/>
  <c r="F17" i="3"/>
  <c r="G17" i="3"/>
  <c r="C17" i="3"/>
  <c r="D16" i="3"/>
  <c r="E16" i="3"/>
  <c r="F16" i="3"/>
  <c r="G16" i="3"/>
  <c r="C16" i="3"/>
  <c r="D15" i="3"/>
  <c r="E15" i="3"/>
  <c r="F15" i="3"/>
  <c r="G15" i="3"/>
  <c r="C15" i="3"/>
  <c r="H110" i="3" l="1"/>
  <c r="H19" i="3"/>
  <c r="H27" i="3"/>
  <c r="H42" i="3" s="1"/>
  <c r="H17" i="3"/>
  <c r="I17" i="3" s="1"/>
  <c r="I19" i="3"/>
  <c r="D9" i="3"/>
  <c r="E9" i="3"/>
  <c r="F9" i="3"/>
  <c r="G9" i="3"/>
  <c r="C9" i="3"/>
  <c r="D8" i="3"/>
  <c r="E8" i="3"/>
  <c r="F8" i="3"/>
  <c r="G8" i="3"/>
  <c r="C8" i="3"/>
  <c r="D7" i="3"/>
  <c r="E7" i="3"/>
  <c r="F7" i="3"/>
  <c r="G7" i="3"/>
  <c r="C7" i="3"/>
  <c r="H31" i="3"/>
  <c r="H20" i="3"/>
  <c r="H61" i="3" s="1"/>
  <c r="H109" i="3" s="1"/>
  <c r="D2" i="3"/>
  <c r="E2" i="3" s="1"/>
  <c r="F2" i="3" s="1"/>
  <c r="G2" i="3" s="1"/>
  <c r="H2" i="3" s="1"/>
  <c r="I2" i="3" s="1"/>
  <c r="J2" i="3" s="1"/>
  <c r="K2" i="3" s="1"/>
  <c r="L2" i="3" s="1"/>
  <c r="H52" i="3"/>
  <c r="I52" i="3" s="1"/>
  <c r="H50" i="3"/>
  <c r="I50" i="3" s="1"/>
  <c r="H46" i="3"/>
  <c r="I46" i="3" s="1"/>
  <c r="H41" i="3"/>
  <c r="I41" i="3" s="1"/>
  <c r="H39" i="3"/>
  <c r="H99" i="3" l="1"/>
  <c r="K17" i="3"/>
  <c r="J17" i="3"/>
  <c r="J19" i="3"/>
  <c r="H35" i="3"/>
  <c r="I4" i="3"/>
  <c r="I31" i="3" s="1"/>
  <c r="I99" i="3" s="1"/>
  <c r="H58" i="3"/>
  <c r="H106" i="3" s="1"/>
  <c r="H36" i="3"/>
  <c r="H9" i="3" s="1"/>
  <c r="H8" i="3"/>
  <c r="H32" i="3"/>
  <c r="J52" i="3"/>
  <c r="K52" i="3" s="1"/>
  <c r="L52" i="3" s="1"/>
  <c r="I20" i="3"/>
  <c r="J46" i="3"/>
  <c r="I27" i="3"/>
  <c r="I42" i="3" s="1"/>
  <c r="J50" i="3"/>
  <c r="K50" i="3" s="1"/>
  <c r="J41" i="3"/>
  <c r="K41" i="3" s="1"/>
  <c r="I39" i="3"/>
  <c r="D11" i="1"/>
  <c r="G88" i="3"/>
  <c r="F88" i="3"/>
  <c r="F91" i="3" s="1"/>
  <c r="L17" i="3" l="1"/>
  <c r="I65" i="3"/>
  <c r="J4" i="3"/>
  <c r="J31" i="3" s="1"/>
  <c r="I58" i="3"/>
  <c r="I106" i="3" s="1"/>
  <c r="I74" i="3"/>
  <c r="I62" i="3"/>
  <c r="I73" i="3"/>
  <c r="J73" i="3" s="1"/>
  <c r="I70" i="3"/>
  <c r="J70" i="3" s="1"/>
  <c r="K19" i="3"/>
  <c r="L19" i="3" s="1"/>
  <c r="I36" i="3"/>
  <c r="I9" i="3" s="1"/>
  <c r="I32" i="3"/>
  <c r="I7" i="3" s="1"/>
  <c r="I35" i="3"/>
  <c r="J20" i="3"/>
  <c r="K46" i="3"/>
  <c r="J27" i="3"/>
  <c r="L50" i="3"/>
  <c r="L41" i="3"/>
  <c r="J39" i="3"/>
  <c r="H33" i="3"/>
  <c r="H6" i="3" s="1"/>
  <c r="K4" i="3" l="1"/>
  <c r="J99" i="3"/>
  <c r="J65" i="3" s="1"/>
  <c r="J58" i="3"/>
  <c r="J106" i="3" s="1"/>
  <c r="K70" i="3"/>
  <c r="K73" i="3"/>
  <c r="J62" i="3"/>
  <c r="J110" i="3"/>
  <c r="I110" i="3"/>
  <c r="J74" i="3"/>
  <c r="I108" i="3"/>
  <c r="J36" i="3"/>
  <c r="J9" i="3" s="1"/>
  <c r="I61" i="3"/>
  <c r="J109" i="3" s="1"/>
  <c r="K20" i="3"/>
  <c r="J61" i="3"/>
  <c r="K58" i="3"/>
  <c r="K106" i="3" s="1"/>
  <c r="K27" i="3"/>
  <c r="J42" i="3"/>
  <c r="J32" i="3"/>
  <c r="J7" i="3" s="1"/>
  <c r="I8" i="3"/>
  <c r="I37" i="3"/>
  <c r="K31" i="3"/>
  <c r="J35" i="3"/>
  <c r="L20" i="3"/>
  <c r="I33" i="3"/>
  <c r="L46" i="3"/>
  <c r="H37" i="3"/>
  <c r="H38" i="3" s="1"/>
  <c r="H10" i="3" s="1"/>
  <c r="K39" i="3"/>
  <c r="L39" i="3" s="1"/>
  <c r="K62" i="3" l="1"/>
  <c r="K110" i="3" s="1"/>
  <c r="I109" i="3"/>
  <c r="K74" i="3"/>
  <c r="K108" i="3" s="1"/>
  <c r="J108" i="3"/>
  <c r="L4" i="3"/>
  <c r="L31" i="3" s="1"/>
  <c r="K99" i="3"/>
  <c r="K65" i="3" s="1"/>
  <c r="L27" i="3"/>
  <c r="L42" i="3" s="1"/>
  <c r="K42" i="3"/>
  <c r="J8" i="3"/>
  <c r="K35" i="3" s="1"/>
  <c r="J37" i="3"/>
  <c r="K36" i="3"/>
  <c r="K9" i="3" s="1"/>
  <c r="K32" i="3"/>
  <c r="K7" i="3" s="1"/>
  <c r="I38" i="3"/>
  <c r="I6" i="3"/>
  <c r="H43" i="3"/>
  <c r="H44" i="3" s="1"/>
  <c r="J33" i="3"/>
  <c r="C144" i="3"/>
  <c r="C145" i="3" s="1"/>
  <c r="D144" i="3"/>
  <c r="D145" i="3" s="1"/>
  <c r="E144" i="3"/>
  <c r="E145" i="3" s="1"/>
  <c r="F144" i="3"/>
  <c r="F145" i="3" s="1"/>
  <c r="G144" i="3"/>
  <c r="G145" i="3" s="1"/>
  <c r="C138" i="3"/>
  <c r="D138" i="3"/>
  <c r="E138" i="3"/>
  <c r="G138" i="3"/>
  <c r="F138" i="3"/>
  <c r="E125" i="3"/>
  <c r="E129" i="3" s="1"/>
  <c r="D129" i="3"/>
  <c r="F129" i="3"/>
  <c r="G129" i="3"/>
  <c r="C129" i="3"/>
  <c r="C63" i="3"/>
  <c r="D63" i="3"/>
  <c r="C37" i="3"/>
  <c r="L58" i="3" l="1"/>
  <c r="L106" i="3" s="1"/>
  <c r="L99" i="3"/>
  <c r="L65" i="3" s="1"/>
  <c r="L62" i="3"/>
  <c r="L110" i="3" s="1"/>
  <c r="L74" i="3"/>
  <c r="L108" i="3" s="1"/>
  <c r="L73" i="3"/>
  <c r="L70" i="3"/>
  <c r="K61" i="3"/>
  <c r="L32" i="3"/>
  <c r="L36" i="3"/>
  <c r="L9" i="3" s="1"/>
  <c r="K8" i="3"/>
  <c r="L35" i="3" s="1"/>
  <c r="K37" i="3"/>
  <c r="J38" i="3"/>
  <c r="J6" i="3"/>
  <c r="I43" i="3"/>
  <c r="I10" i="3"/>
  <c r="H45" i="3"/>
  <c r="H86" i="3" s="1"/>
  <c r="K33" i="3"/>
  <c r="D95" i="3"/>
  <c r="E95" i="3" s="1"/>
  <c r="F95" i="3" s="1"/>
  <c r="G95" i="3" s="1"/>
  <c r="H95" i="3" s="1"/>
  <c r="I95" i="3" s="1"/>
  <c r="J95" i="3" s="1"/>
  <c r="K95" i="3" s="1"/>
  <c r="L95" i="3" s="1"/>
  <c r="C42" i="3"/>
  <c r="G37" i="3"/>
  <c r="F37" i="3"/>
  <c r="E37" i="3"/>
  <c r="D37" i="3"/>
  <c r="G33" i="3"/>
  <c r="G6" i="3" s="1"/>
  <c r="F33" i="3"/>
  <c r="F6" i="3" s="1"/>
  <c r="E33" i="3"/>
  <c r="E6" i="3" s="1"/>
  <c r="D33" i="3"/>
  <c r="D6" i="3" s="1"/>
  <c r="C33" i="3"/>
  <c r="C6" i="3" s="1"/>
  <c r="D30" i="3"/>
  <c r="D55" i="3"/>
  <c r="G91" i="3"/>
  <c r="D88" i="3"/>
  <c r="D91" i="3" s="1"/>
  <c r="E88" i="3"/>
  <c r="E91" i="3" s="1"/>
  <c r="C88" i="3"/>
  <c r="C91" i="3" s="1"/>
  <c r="K109" i="3" l="1"/>
  <c r="L7" i="3"/>
  <c r="L61" i="3"/>
  <c r="C27" i="3"/>
  <c r="C26" i="3"/>
  <c r="H96" i="3"/>
  <c r="L33" i="3"/>
  <c r="L6" i="3" s="1"/>
  <c r="L8" i="3"/>
  <c r="L37" i="3"/>
  <c r="H47" i="3"/>
  <c r="H49" i="3" s="1"/>
  <c r="H51" i="3" s="1"/>
  <c r="H11" i="3"/>
  <c r="I44" i="3"/>
  <c r="I45" i="3" s="1"/>
  <c r="I96" i="3" s="1"/>
  <c r="K38" i="3"/>
  <c r="K6" i="3"/>
  <c r="J43" i="3"/>
  <c r="J10" i="3"/>
  <c r="C38" i="3"/>
  <c r="E55" i="3"/>
  <c r="E30" i="3"/>
  <c r="F38" i="3"/>
  <c r="D38" i="3"/>
  <c r="E38" i="3"/>
  <c r="G38" i="3"/>
  <c r="I86" i="3" l="1"/>
  <c r="L109" i="3"/>
  <c r="E10" i="3"/>
  <c r="E25" i="3"/>
  <c r="C10" i="3"/>
  <c r="C25" i="3"/>
  <c r="D10" i="3"/>
  <c r="D25" i="3"/>
  <c r="F10" i="3"/>
  <c r="F25" i="3"/>
  <c r="L38" i="3"/>
  <c r="L43" i="3" s="1"/>
  <c r="G10" i="3"/>
  <c r="G25" i="3"/>
  <c r="H88" i="3"/>
  <c r="H91" i="3" s="1"/>
  <c r="I11" i="3"/>
  <c r="I47" i="3"/>
  <c r="I49" i="3" s="1"/>
  <c r="J44" i="3"/>
  <c r="J45" i="3" s="1"/>
  <c r="J96" i="3" s="1"/>
  <c r="H53" i="3"/>
  <c r="K43" i="3"/>
  <c r="K10" i="3"/>
  <c r="G43" i="3"/>
  <c r="G13" i="3" s="1"/>
  <c r="F30" i="3"/>
  <c r="F55" i="3"/>
  <c r="E43" i="3"/>
  <c r="E45" i="3" s="1"/>
  <c r="C43" i="3"/>
  <c r="C45" i="3" s="1"/>
  <c r="D43" i="3"/>
  <c r="D45" i="3" s="1"/>
  <c r="F43" i="3"/>
  <c r="F45" i="3" s="1"/>
  <c r="C76" i="3"/>
  <c r="C82" i="3" s="1"/>
  <c r="C92" i="3" s="1"/>
  <c r="D76" i="3"/>
  <c r="D82" i="3" s="1"/>
  <c r="D92" i="3" s="1"/>
  <c r="E76" i="3"/>
  <c r="E82" i="3" s="1"/>
  <c r="E92" i="3" s="1"/>
  <c r="F76" i="3"/>
  <c r="G82" i="3"/>
  <c r="G92" i="3" s="1"/>
  <c r="C71" i="3"/>
  <c r="D71" i="3"/>
  <c r="E63" i="3"/>
  <c r="E71" i="3" s="1"/>
  <c r="F63" i="3"/>
  <c r="F71" i="3" s="1"/>
  <c r="G63" i="3"/>
  <c r="G71" i="3" s="1"/>
  <c r="J86" i="3" l="1"/>
  <c r="L10" i="3"/>
  <c r="I88" i="3"/>
  <c r="I91" i="3" s="1"/>
  <c r="J11" i="3"/>
  <c r="J47" i="3"/>
  <c r="J49" i="3" s="1"/>
  <c r="K44" i="3"/>
  <c r="K45" i="3" s="1"/>
  <c r="K96" i="3" s="1"/>
  <c r="I51" i="3"/>
  <c r="I53" i="3"/>
  <c r="L44" i="3"/>
  <c r="L45" i="3" s="1"/>
  <c r="L96" i="3" s="1"/>
  <c r="F47" i="3"/>
  <c r="F49" i="3" s="1"/>
  <c r="F11" i="3"/>
  <c r="E47" i="3"/>
  <c r="E49" i="3" s="1"/>
  <c r="E11" i="3"/>
  <c r="D47" i="3"/>
  <c r="D49" i="3" s="1"/>
  <c r="D11" i="3"/>
  <c r="C47" i="3"/>
  <c r="C49" i="3" s="1"/>
  <c r="C11" i="3"/>
  <c r="C93" i="3"/>
  <c r="H21" i="3"/>
  <c r="G55" i="3"/>
  <c r="G45" i="3"/>
  <c r="F82" i="3"/>
  <c r="F92" i="3" s="1"/>
  <c r="F93" i="3" s="1"/>
  <c r="E93" i="3"/>
  <c r="G30" i="3"/>
  <c r="D93" i="3"/>
  <c r="G93" i="3"/>
  <c r="F96" i="3"/>
  <c r="F118" i="3" s="1"/>
  <c r="D96" i="3"/>
  <c r="D118" i="3" s="1"/>
  <c r="C96" i="3"/>
  <c r="C118" i="3" s="1"/>
  <c r="E96" i="3"/>
  <c r="E118" i="3" s="1"/>
  <c r="K86" i="3" l="1"/>
  <c r="L86" i="3" s="1"/>
  <c r="I21" i="3"/>
  <c r="I72" i="3" s="1"/>
  <c r="H72" i="3"/>
  <c r="J88" i="3"/>
  <c r="J91" i="3" s="1"/>
  <c r="L11" i="3"/>
  <c r="L47" i="3"/>
  <c r="L49" i="3" s="1"/>
  <c r="K11" i="3"/>
  <c r="K47" i="3"/>
  <c r="K49" i="3" s="1"/>
  <c r="J53" i="3"/>
  <c r="J51" i="3"/>
  <c r="G47" i="3"/>
  <c r="G49" i="3" s="1"/>
  <c r="G51" i="3" s="1"/>
  <c r="G11" i="3"/>
  <c r="J21" i="3"/>
  <c r="J72" i="3" s="1"/>
  <c r="C140" i="3"/>
  <c r="F140" i="3"/>
  <c r="E140" i="3"/>
  <c r="D140" i="3"/>
  <c r="H55" i="3"/>
  <c r="I55" i="3" s="1"/>
  <c r="J55" i="3" s="1"/>
  <c r="K55" i="3" s="1"/>
  <c r="L55" i="3" s="1"/>
  <c r="H30" i="3"/>
  <c r="I30" i="3" s="1"/>
  <c r="J30" i="3" s="1"/>
  <c r="K30" i="3" s="1"/>
  <c r="L30" i="3" s="1"/>
  <c r="F51" i="3"/>
  <c r="F53" i="3"/>
  <c r="E51" i="3"/>
  <c r="E53" i="3"/>
  <c r="D53" i="3"/>
  <c r="D51" i="3"/>
  <c r="C53" i="3"/>
  <c r="C51" i="3"/>
  <c r="G96" i="3"/>
  <c r="G118" i="3" s="1"/>
  <c r="H76" i="3" l="1"/>
  <c r="H82" i="3" s="1"/>
  <c r="H111" i="3"/>
  <c r="H118" i="3" s="1"/>
  <c r="H140" i="3" s="1"/>
  <c r="H142" i="3" s="1"/>
  <c r="I76" i="3"/>
  <c r="I82" i="3" s="1"/>
  <c r="I92" i="3" s="1"/>
  <c r="I111" i="3"/>
  <c r="I118" i="3" s="1"/>
  <c r="I140" i="3" s="1"/>
  <c r="J76" i="3"/>
  <c r="J82" i="3" s="1"/>
  <c r="J92" i="3" s="1"/>
  <c r="J111" i="3"/>
  <c r="J118" i="3" s="1"/>
  <c r="J140" i="3" s="1"/>
  <c r="G53" i="3"/>
  <c r="L88" i="3"/>
  <c r="L91" i="3" s="1"/>
  <c r="K88" i="3"/>
  <c r="K91" i="3" s="1"/>
  <c r="K53" i="3"/>
  <c r="K51" i="3"/>
  <c r="L51" i="3"/>
  <c r="L53" i="3"/>
  <c r="K21" i="3"/>
  <c r="H24" i="3"/>
  <c r="G140" i="3"/>
  <c r="H92" i="3" l="1"/>
  <c r="I141" i="3"/>
  <c r="I142" i="3" s="1"/>
  <c r="H144" i="3"/>
  <c r="L21" i="3"/>
  <c r="L72" i="3" s="1"/>
  <c r="K72" i="3"/>
  <c r="I24" i="3"/>
  <c r="H56" i="3" l="1"/>
  <c r="H63" i="3" s="1"/>
  <c r="J141" i="3"/>
  <c r="J142" i="3" s="1"/>
  <c r="I144" i="3"/>
  <c r="K76" i="3"/>
  <c r="K82" i="3" s="1"/>
  <c r="K92" i="3" s="1"/>
  <c r="K111" i="3"/>
  <c r="K118" i="3" s="1"/>
  <c r="K140" i="3" s="1"/>
  <c r="L76" i="3"/>
  <c r="L82" i="3" s="1"/>
  <c r="L92" i="3" s="1"/>
  <c r="L111" i="3"/>
  <c r="L118" i="3" s="1"/>
  <c r="L140" i="3" s="1"/>
  <c r="J24" i="3"/>
  <c r="K24" i="3" s="1"/>
  <c r="H71" i="3" l="1"/>
  <c r="H93" i="3" s="1"/>
  <c r="I56" i="3"/>
  <c r="I63" i="3" s="1"/>
  <c r="I71" i="3" s="1"/>
  <c r="I93" i="3" s="1"/>
  <c r="H145" i="3"/>
  <c r="K141" i="3"/>
  <c r="K142" i="3" s="1"/>
  <c r="J144" i="3"/>
  <c r="L24" i="3"/>
  <c r="J56" i="3" l="1"/>
  <c r="J63" i="3" s="1"/>
  <c r="J71" i="3" s="1"/>
  <c r="J93" i="3" s="1"/>
  <c r="I145" i="3"/>
  <c r="L141" i="3"/>
  <c r="L142" i="3" s="1"/>
  <c r="L144" i="3" s="1"/>
  <c r="K144" i="3"/>
  <c r="K56" i="3" l="1"/>
  <c r="K63" i="3" s="1"/>
  <c r="K71" i="3" s="1"/>
  <c r="K93" i="3" s="1"/>
  <c r="L56" i="3"/>
  <c r="L63" i="3" s="1"/>
  <c r="L71" i="3" s="1"/>
  <c r="L93" i="3" s="1"/>
  <c r="J145" i="3"/>
  <c r="K145" i="3" l="1"/>
  <c r="L14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tc={055D5F0C-0A02-43EA-950D-294DE5635375}</author>
    <author>tc={9642E61D-A12C-4FC2-9EE1-52ABBE0D2278}</author>
    <author>tc={C2BC33A5-D0C0-4E4B-9056-CDED9D1C7B83}</author>
    <author>tc={7DFCA7F6-9A3C-4057-B292-C36464C66DAF}</author>
    <author>tc={13F13D2F-A08A-4111-A835-FE6FBD97ECB9}</author>
    <author>tc={5B93EEC1-D378-4268-ACFA-5729897E4E79}</author>
    <author>tc={DA9B49CD-FA7F-4574-A934-93ED6001B351}</author>
    <author>tc={88DB0522-55D8-4812-B813-124BB1AFEA83}</author>
    <author>tc={D444E2BF-F590-40CF-954C-ED8B52E75058}</author>
    <author>tc={EA8FA246-8764-48C3-8B1F-AA45006D8E47}</author>
    <author>tc={A0EBDB2E-4E83-4F19-B476-BA22DEDFA8E7}</author>
    <author>tc={097CDB56-F2D4-4881-BC19-7EDB46F7A35B}</author>
    <author>tc={2FAB5614-E802-466C-B7F7-A7998FC509FF}</author>
    <author>tc={FCBF5430-CC16-4FA7-A328-F055805876BF}</author>
    <author>tc={FD6A5B35-3131-4842-8F2D-3FB1F51BA0DC}</author>
    <author>tc={0E7DD524-690B-4527-A530-CA5E1EA00D3F}</author>
    <author>tc={0D16BCCB-0174-46A1-AC59-A92F3BA51CAF}</author>
    <author>tc={7BF5A409-3B9B-4BF6-9926-A316C2332D1A}</author>
    <author>tc={B185F72E-53E4-443E-AD15-F5590811DD24}</author>
    <author>tc={9D6FFE3E-6A80-4A18-BAE1-FF9B3DF7F127}</author>
    <author>tc={0ACD9A4E-A6CB-4807-A557-5CCDA362CE4D}</author>
    <author>tc={2F685951-B4C8-4575-98BE-C71E921F6006}</author>
    <author>tc={735ECB3F-6B00-471D-B528-CF78FA9D8DCB}</author>
    <author>tc={723A0937-6AEF-49F9-A01F-764A700BA8DF}</author>
    <author>tc={E020734A-44B8-41B1-9F60-59BA644A2BE0}</author>
    <author>tc={4444B2F3-5D63-47A9-821B-BE774CC0C6CD}</author>
    <author>tc={31FA1DCD-E8AF-4359-80DF-460D0C1B3788}</author>
    <author>tc={7EEE51B2-23C8-4486-A6A9-82B3A58CF94D}</author>
    <author>tc={BF7762D6-2D19-4E5A-A42F-48F1758CDBF9}</author>
    <author>tc={BD0AADAC-A367-4E56-B134-8D85E5D1F39A}</author>
    <author>tc={8408FF94-C482-4CF7-B3B6-E64B1A7C83FA}</author>
    <author>tc={D28620DE-7806-4031-A94C-5A70B9745900}</author>
    <author>tc={A220A4AC-D09C-42CC-AAFF-A3D7CABEAF78}</author>
    <author>tc={55835481-3D66-47BC-A0B4-92FC7117D04A}</author>
    <author>tc={F517D032-B01D-4DF2-B2E1-1155B2E900C9}</author>
    <author>tc={2A6522A2-ECFE-452E-9069-22BB49335B60}</author>
    <author>tc={73E334A0-593A-41CB-8659-C7F0D149AD28}</author>
    <author>tc={2C5DD1BA-6455-422A-8A06-F13DA0A1A21E}</author>
    <author>tc={38546E84-2507-4C66-843D-B4E8B55CE5FC}</author>
    <author>tc={781018CE-9A74-4BD7-B24A-7BBD80AB89E7}</author>
    <author>tc={E3887C0E-50E1-411C-B626-EBECC05579F8}</author>
    <author>tc={42B21807-10EE-4681-9B99-E76C8B4F8F19}</author>
    <author>tc={7ECBA987-631A-452A-B005-8DEB05A0D266}</author>
    <author>tc={DBC35067-876F-4FAD-ADB1-8027CB5EB694}</author>
    <author>tc={814AF812-3628-4A3F-BBD1-C79B9FB72DB1}</author>
    <author>tc={68022D32-F1F3-4230-804F-E42ACC6E65BC}</author>
    <author>tc={0F4657DB-4F55-4126-9AA9-309AE70433C1}</author>
    <author>tc={6F50CB29-681B-4273-A7E2-EC93B37B267D}</author>
    <author>tc={C8728A52-4B4C-4EE8-A0E5-D0AABDE46C6A}</author>
    <author>tc={32311E65-3CCC-4F0B-8E2B-49A29C7C4C14}</author>
    <author>tc={2CC4C517-5135-4741-BDCB-AACD715CD406}</author>
    <author>tc={ED508D21-4D41-4D7E-A2C6-47EBB330BC7F}</author>
    <author>tc={0EF33BA7-EA60-4068-A91B-07BCA37ADD16}</author>
    <author>tc={BF4AE64D-C9B3-4377-AA66-B017FC2C584D}</author>
    <author>tc={411E2319-1AA4-4B9C-B4FE-BDB461FBF768}</author>
    <author>tc={83C8CD51-E80A-4656-9959-554450CFFE03}</author>
    <author>tc={F5319C8C-F8F3-4693-ABB0-C77AE715A152}</author>
    <author>tc={FCB91F4A-21DD-4545-A98C-5E64EEF23ECD}</author>
    <author>tc={F849684E-55F3-45B7-A694-57CDAAB97F7C}</author>
    <author>tc={31BB17E1-73EB-438A-A0DB-D6025F734539}</author>
    <author>tc={6B2DD525-3FDF-4831-9A1B-E82B4EACA719}</author>
    <author>tc={949B10D3-3C46-4F0B-BC2A-F0EB9AC0FE1F}</author>
    <author>tc={48544A9C-5A13-48D1-917C-3108BF63C7D6}</author>
    <author>tc={5A51DCBB-5374-41B9-A10B-D554B01E1BF6}</author>
    <author>tc={E50A0D2D-3BE6-4CD1-9F5F-29554D1EAC8F}</author>
    <author>tc={DF0D4C79-7457-440F-B77D-C897944542A1}</author>
    <author>tc={68DB4377-F52A-4AAF-83A8-BD591DFD5B88}</author>
    <author>tc={BFF3F063-7346-4FA0-B987-FBA065DF5BF0}</author>
    <author>tc={0006161D-3BC5-4E50-B74E-B622B762275E}</author>
    <author>tc={F78C6349-BEDA-4712-A897-1FEB6ADCE4E6}</author>
    <author>tc={BF5E9D82-25FE-470A-8E1E-5BE11EEA9DB7}</author>
    <author>tc={812CA68D-79BF-4E4F-81F9-2C4068742389}</author>
    <author>tc={809AE375-C473-4387-B29D-B0C30E437B93}</author>
    <author>tc={9D7F316F-17BF-4FB3-B0FE-FC87EC6234D0}</author>
    <author>tc={CEC400AD-C561-4A30-9BB2-CA4E9DB69447}</author>
    <author>tc={4A83F404-C9A2-46C7-9506-E1EF1742A4DE}</author>
    <author>tc={48A8B806-0B54-4F16-8A9B-5449EA0673F3}</author>
    <author>tc={7FFEBBFF-5D9C-4BFD-9657-AA07CCCF1643}</author>
    <author>tc={BC23432E-35D7-4C91-BB36-3B8971C0F0EF}</author>
    <author>tc={C43B1633-B4E0-4CF6-9023-271AD363286E}</author>
    <author>tc={3406BCD8-C23B-47A2-8911-97DD0FF0B2D2}</author>
    <author>tc={6B97D321-1CD9-43E7-8CB5-8D4B80105B9D}</author>
    <author>tc={4D3C0DCE-13AE-4FE3-9352-785F2D5EEE07}</author>
    <author>tc={6BCFBAF5-47C0-476F-8B84-2B2FCEB0D212}</author>
    <author>tc={C0D67968-DD41-4C7C-A6EC-F945E41037B8}</author>
    <author>tc={8E6376C5-2961-4711-B206-F04555A70644}</author>
    <author>tc={D4DAA8F8-ADD5-4E4C-9817-F0478F5E63A3}</author>
    <author>tc={4700DE3E-E3F0-42B6-B9F2-C0D6D39111C3}</author>
    <author>tc={76663011-AFEF-4E06-A983-640D69F7354B}</author>
    <author>tc={E9384446-E2E6-4EAA-912C-AA254CC96811}</author>
    <author>tc={B61385CD-4D45-43DD-A9B8-1F9A74DDBE7A}</author>
    <author>tc={2688BE2C-FA58-404B-A32E-6069952950F1}</author>
    <author>tc={7E2FEC11-F235-4343-9ED2-AC7B15839631}</author>
    <author>tc={5C64ACA4-E29F-463F-B779-E9272719307F}</author>
    <author>tc={9A9E8B3D-B775-48CF-9620-F2C10C0EC303}</author>
    <author>tc={68D538B7-3B2D-4332-865D-5AD5BC490526}</author>
    <author>tc={84FA0DD2-4274-4155-A7D5-B607DD46069A}</author>
    <author>tc={0CF63F11-B143-4E7B-A7B4-DCEEDCB5A0BF}</author>
    <author>tc={6D078522-323F-412D-9378-145142E98D7D}</author>
  </authors>
  <commentList>
    <comment ref="B4" authorId="0" shapeId="0" xr:uid="{055D5F0C-0A02-43EA-950D-294DE5635375}">
      <text>
        <t>[Threaded comment]
Your version of Excel allows you to read this threaded comment; however, any edits to it will get removed if the file is opened in a newer version of Excel. Learn more: https://go.microsoft.com/fwlink/?linkid=870924
Comment:
    = (Current Revenue / Prior Revenue) - 1</t>
      </text>
    </comment>
    <comment ref="H4" authorId="1" shapeId="0" xr:uid="{9642E61D-A12C-4FC2-9EE1-52ABBE0D22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CAGR</t>
      </text>
    </comment>
    <comment ref="B6" authorId="2" shapeId="0" xr:uid="{C2BC33A5-D0C0-4E4B-9056-CDED9D1C7B83}">
      <text>
        <t>[Threaded comment]
Your version of Excel allows you to read this threaded comment; however, any edits to it will get removed if the file is opened in a newer version of Excel. Learn more: https://go.microsoft.com/fwlink/?linkid=870924
Comment:
    = Gross Profit / Revenue</t>
      </text>
    </comment>
    <comment ref="B7" authorId="3" shapeId="0" xr:uid="{7DFCA7F6-9A3C-4057-B292-C36464C66D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COGS / Revenue </t>
      </text>
    </comment>
    <comment ref="B8" authorId="4" shapeId="0" xr:uid="{13F13D2F-A08A-4111-A835-FE6FBD97EC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SG&amp;A / Revenue </t>
      </text>
    </comment>
    <comment ref="B9" authorId="5" shapeId="0" xr:uid="{5B93EEC1-D378-4268-ACFA-5729897E4E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R&amp;D / Revenue </t>
      </text>
    </comment>
    <comment ref="B10" authorId="6" shapeId="0" xr:uid="{DA9B49CD-FA7F-4574-A934-93ED6001B3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EBIT / Revenue </t>
      </text>
    </comment>
    <comment ref="B11" authorId="7" shapeId="0" xr:uid="{88DB0522-55D8-4812-B813-124BB1AFEA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Net Income / Revenue </t>
      </text>
    </comment>
    <comment ref="B13" authorId="8" shapeId="0" xr:uid="{D444E2BF-F590-40CF-954C-ED8B52E750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 Taxes / EBT — nm (not meaningful) in loss years. Use statutory rate of 21% as forecast assumption 
= Taxes / EBT </t>
      </text>
    </comment>
    <comment ref="B15" authorId="9" shapeId="0" xr:uid="{EA8FA246-8764-48C3-8B1F-AA45006D8E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Capex / Revenue </t>
      </text>
    </comment>
    <comment ref="B16" authorId="10" shapeId="0" xr:uid="{A0EBDB2E-4E83-4F19-B476-BA22DEDFA8E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Capex / PP&amp;E </t>
      </text>
    </comment>
    <comment ref="B17" authorId="11" shapeId="0" xr:uid="{097CDB56-F2D4-4881-BC19-7EDB46F7A3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D&amp;A / Revenue </t>
      </text>
    </comment>
    <comment ref="B19" authorId="12" shapeId="0" xr:uid="{2FAB5614-E802-466C-B7F7-A7998FC509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Accounts Receivable / Revenue × 365 </t>
      </text>
    </comment>
    <comment ref="H19" authorId="13" shapeId="0" xr:uid="{FCBF5430-CC16-4FA7-A328-F055805876B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B20" authorId="14" shapeId="0" xr:uid="{FD6A5B35-3131-4842-8F2D-3FB1F51BA0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Inventory / COGS × 365 </t>
      </text>
    </comment>
    <comment ref="H20" authorId="15" shapeId="0" xr:uid="{0E7DD524-690B-4527-A530-CA5E1EA00D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3 Year Average
</t>
      </text>
    </comment>
    <comment ref="B21" authorId="16" shapeId="0" xr:uid="{0D16BCCB-0174-46A1-AC59-A92F3BA51C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Accounts Payable / COGS × 365 </t>
      </text>
    </comment>
    <comment ref="H21" authorId="17" shapeId="0" xr:uid="{7BF5A409-3B9B-4BF6-9926-A316C2332D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5 Year Average
</t>
      </text>
    </comment>
    <comment ref="B22" authorId="18" shapeId="0" xr:uid="{B185F72E-53E4-443E-AD15-F5590811DD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Advances &amp; Progress Billings / Revenue </t>
      </text>
    </comment>
    <comment ref="B24" authorId="19" shapeId="0" xr:uid="{9D6FFE3E-6A80-4A18-BAE1-FF9B3DF7F1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Net Debt = Short-term Debt + Long-term Debt − Cash − Short-term Investments
</t>
      </text>
    </comment>
    <comment ref="B25" authorId="20" shapeId="0" xr:uid="{0ACD9A4E-A6CB-4807-A557-5CCDA362CE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nm = not meaningful in loss years where EBITA is negative </t>
      </text>
    </comment>
    <comment ref="B26" authorId="21" shapeId="0" xr:uid="{2F685951-B4C8-4575-98BE-C71E921F60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nm = not meaningful in loss years where EBITA is negative 
</t>
      </text>
    </comment>
    <comment ref="B27" authorId="22" shapeId="0" xr:uid="{735ECB3F-6B00-471D-B528-CF78FA9D8DC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Interest Expense / Total Debt </t>
      </text>
    </comment>
    <comment ref="H27" authorId="23" shapeId="0" xr:uid="{723A0937-6AEF-49F9-A01F-764A700BA8D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39" authorId="24" shapeId="0" xr:uid="{E020734A-44B8-41B1-9F60-59BA644A2BE0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41" authorId="25" shapeId="0" xr:uid="{4444B2F3-5D63-47A9-821B-BE774CC0C6C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42" authorId="26" shapeId="0" xr:uid="{31FA1DCD-E8AF-4359-80DF-460D0C1B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=Interest % of Debt * Total Debt</t>
      </text>
    </comment>
    <comment ref="H44" authorId="27" shapeId="0" xr:uid="{7EEE51B2-23C8-4486-A6A9-82B3A58CF94D}">
      <text>
        <t>[Threaded comment]
Your version of Excel allows you to read this threaded comment; however, any edits to it will get removed if the file is opened in a newer version of Excel. Learn more: https://go.microsoft.com/fwlink/?linkid=870924
Comment:
    =EBT * Tax Rate</t>
      </text>
    </comment>
    <comment ref="H48" authorId="28" shapeId="0" xr:uid="{BF7762D6-2D19-4E5A-A42F-48F1758CDB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>
      </text>
    </comment>
    <comment ref="I48" authorId="29" shapeId="0" xr:uid="{BD0AADAC-A367-4E56-B134-8D85E5D1F3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>
      </text>
    </comment>
    <comment ref="B50" authorId="30" shapeId="0" xr:uid="{8408FF94-C482-4CF7-B3B6-E64B1A7C83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Disclosed as basic weighted average common shares outstanding in the EPS footnote of the 10-K </t>
      </text>
    </comment>
    <comment ref="B52" authorId="31" shapeId="0" xr:uid="{D28620DE-7806-4031-A94C-5A70B97459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Disclosed as diluted weighted average common shares outstanding in the EPS footnote of the 10-K 
</t>
      </text>
    </comment>
    <comment ref="H57" authorId="32" shapeId="0" xr:uid="{A220A4AC-D09C-42CC-AAFF-A3D7CABEAF78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as I have no specific assumptions</t>
      </text>
    </comment>
    <comment ref="H58" authorId="33" shapeId="0" xr:uid="{55835481-3D66-47BC-A0B4-92FC7117D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AR = (5yr Average DSO / 365) × 2026 Revenue
</t>
      </text>
    </comment>
    <comment ref="H59" authorId="34" shapeId="0" xr:uid="{F517D032-B01D-4DF2-B2E1-1155B2E900C9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61" authorId="35" shapeId="0" xr:uid="{2A6522A2-ECFE-452E-9069-22BB49335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Inventory = (3yr Average DIO / 365) × 2026 COGS
</t>
      </text>
    </comment>
    <comment ref="H62" authorId="36" shapeId="0" xr:uid="{73E334A0-593A-41CB-8659-C7F0D149AD28}">
      <text>
        <t>[Threaded comment]
Your version of Excel allows you to read this threaded comment; however, any edits to it will get removed if the file is opened in a newer version of Excel. Learn more: https://go.microsoft.com/fwlink/?linkid=870924
Comment:
    =2025 Other Current Assets * (1 + Revenue Growth Rate)</t>
      </text>
    </comment>
    <comment ref="H64" authorId="37" shapeId="0" xr:uid="{2C5DD1BA-6455-422A-8A06-F13DA0A1A21E}">
      <text>
        <t>[Threaded comment]
Your version of Excel allows you to read this threaded comment; however, any edits to it will get removed if the file is opened in a newer version of Excel. Learn more: https://go.microsoft.com/fwlink/?linkid=870924
Comment:
    Declining portfolio; Boeing exiting customer financing. Linear run-off assumed.</t>
      </text>
    </comment>
    <comment ref="H65" authorId="38" shapeId="0" xr:uid="{38546E84-2507-4C66-843D-B4E8B55CE5F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Prior Year PP&amp;E + CapEx - D&amp;A </t>
      </text>
    </comment>
    <comment ref="H66" authorId="39" shapeId="0" xr:uid="{781018CE-9A74-4BD7-B24A-7BBD80AB89E7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flat, no acquisitions acquired</t>
      </text>
    </comment>
    <comment ref="H67" authorId="40" shapeId="0" xr:uid="{E3887C0E-50E1-411C-B626-EBECC055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 (No amortization portion of D&amp;A)</t>
      </text>
    </comment>
    <comment ref="H68" authorId="41" shapeId="0" xr:uid="{42B21807-10EE-4681-9B99-E76C8B4F8F19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69" authorId="42" shapeId="0" xr:uid="{7ECBA987-631A-452A-B005-8DEB05A0D26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70" authorId="43" shapeId="0" xr:uid="{DBC35067-876F-4FAD-ADB1-8027CB5EB69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Other Non Current Assets * (1 + Revenue Growth Rate)
Keeping consistent with Other Current Assets 
</t>
      </text>
    </comment>
    <comment ref="H72" authorId="44" shapeId="0" xr:uid="{814AF812-3628-4A3F-BBD1-C79B9FB72D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AP = (5yr Average DPO / 365) × 2026 COGS
</t>
      </text>
    </comment>
    <comment ref="H73" authorId="45" shapeId="0" xr:uid="{68022D32-F1F3-4230-804F-E42ACC6E65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Accrued Liabilities * (1 + Revenue Growth Rate)
</t>
      </text>
    </comment>
    <comment ref="H74" authorId="46" shapeId="0" xr:uid="{0F4657DB-4F55-4126-9AA9-309AE70433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Advances and Progress Billings * (1 + Revenue Growth Rate)
</t>
      </text>
    </comment>
    <comment ref="H75" authorId="47" shapeId="0" xr:uid="{6F50CB29-681B-4273-A7E2-EC93B37B267D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flat, no debt schedule…debt is volatile hence not using averages</t>
      </text>
    </comment>
    <comment ref="H77" authorId="48" shapeId="0" xr:uid="{C8728A52-4B4C-4EE8-A0E5-D0AABDE46C6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78" authorId="49" shapeId="0" xr:uid="{32311E65-3CCC-4F0B-8E2B-49A29C7C4C14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Accrued Retiree Healthcare: Declining ~$190-200M/yr. Benefit obligation reducing through plan modifications and demographics. Trend: $3,528M (2021) → $2,091M (2025) → continuing decline.</t>
      </text>
    </comment>
    <comment ref="H79" authorId="50" shapeId="0" xr:uid="{2CC4C517-5135-4741-BDCB-AACD715CD406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Pension Liabilities: Declining ~$300M/yr. Continued de-risking of pension portfolio; annual cash contributions ~$300-400M. Trend: $9,104M (2021) → $4,287M (2025).</t>
      </text>
    </comment>
    <comment ref="H80" authorId="51" shapeId="0" xr:uid="{ED508D21-4D41-4D7E-A2C6-47EBB330BC7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1" authorId="52" shapeId="0" xr:uid="{0EF33BA7-EA60-4068-A91B-07BCA37ADD1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3" authorId="53" shapeId="0" xr:uid="{BF4AE64D-C9B3-4377-AA66-B017FC2C584D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4" authorId="54" shapeId="0" xr:uid="{411E2319-1AA4-4B9C-B4FE-BDB461FBF768}">
      <text>
        <t>[Threaded comment]
Your version of Excel allows you to read this threaded comment; however, any edits to it will get removed if the file is opened in a newer version of Excel. Learn more: https://go.microsoft.com/fwlink/?linkid=870924
Comment:
    =2025 Additional Paid-in Capital + Shared-Based Plans Expense</t>
      </text>
    </comment>
    <comment ref="H85" authorId="55" shapeId="0" xr:uid="{83C8CD51-E80A-4656-9959-554450CFFE03}">
      <text>
        <t>[Threaded comment]
Your version of Excel allows you to read this threaded comment; however, any edits to it will get removed if the file is opened in a newer version of Excel. Learn more: https://go.microsoft.com/fwlink/?linkid=870924
Comment:
    =Treasury Stock + Treasury Shares Issued for 401(K) Contribution</t>
      </text>
    </comment>
    <comment ref="H86" authorId="56" shapeId="0" xr:uid="{F5319C8C-F8F3-4693-ABB0-C77AE715A152}">
      <text>
        <t>[Threaded comment]
Your version of Excel allows you to read this threaded comment; however, any edits to it will get removed if the file is opened in a newer version of Excel. Learn more: https://go.microsoft.com/fwlink/?linkid=870924
Comment:
    =Retained Earnings + Net Income</t>
      </text>
    </comment>
    <comment ref="H87" authorId="57" shapeId="0" xr:uid="{FCB91F4A-21DD-4545-A98C-5E64EEF23E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Holding Flat
</t>
      </text>
    </comment>
    <comment ref="H89" authorId="58" shapeId="0" xr:uid="{F849684E-55F3-45B7-A694-57CDAAB97F7C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Mandatory Convertible Preferred: $6M. Converts to common equity in 2027</t>
      </text>
    </comment>
    <comment ref="H97" authorId="59" shapeId="0" xr:uid="{31BB17E1-73EB-438A-A0DB-D6025F7345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a 5 Year Average
</t>
      </text>
    </comment>
    <comment ref="H98" authorId="60" shapeId="0" xr:uid="{6B2DD525-3FDF-4831-9A1B-E82B4EACA719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99" authorId="61" shapeId="0" xr:uid="{949B10D3-3C46-4F0B-BC2A-F0EB9AC0FE1F}">
      <text>
        <t>[Threaded comment]
Your version of Excel allows you to read this threaded comment; however, any edits to it will get removed if the file is opened in a newer version of Excel. Learn more: https://go.microsoft.com/fwlink/?linkid=870924
Comment:
    =D%A % of Revenue * Revenue</t>
      </text>
    </comment>
    <comment ref="H100" authorId="62" shapeId="0" xr:uid="{48544A9C-5A13-48D1-917C-3108BF63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Unpredictable</t>
      </text>
    </comment>
    <comment ref="H101" authorId="63" shapeId="0" xr:uid="{5A51DCBB-5374-41B9-A10B-D554B01E1BF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as 0</t>
      </text>
    </comment>
    <comment ref="H102" authorId="64" shapeId="0" xr:uid="{E50A0D2D-3BE6-4CD1-9F5F-29554D1E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time item</t>
      </text>
    </comment>
    <comment ref="B103" authorId="65" shapeId="0" xr:uid="{DF0D4C79-7457-440F-B77D-C8979445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777X and 787 Reach Forward Losses in 2021</t>
      </text>
    </comment>
    <comment ref="H103" authorId="66" shapeId="0" xr:uid="{68DB4377-F52A-4AAF-83A8-BD591DFD5B88}">
      <text>
        <t>[Threaded comment]
Your version of Excel allows you to read this threaded comment; however, any edits to it will get removed if the file is opened in a newer version of Excel. Learn more: https://go.microsoft.com/fwlink/?linkid=870924
Comment:
    0 as this is programme specific</t>
      </text>
    </comment>
    <comment ref="H104" authorId="67" shapeId="0" xr:uid="{BFF3F063-7346-4FA0-B987-FBA065DF5BF0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106" authorId="68" shapeId="0" xr:uid="{0006161D-3BC5-4E50-B74E-B622B762275E}">
      <text>
        <t>[Threaded comment]
Your version of Excel allows you to read this threaded comment; however, any edits to it will get removed if the file is opened in a newer version of Excel. Learn more: https://go.microsoft.com/fwlink/?linkid=870924
Comment:
    Minus the change in AR
(If there is an increase in assets, results in negative cash flow)</t>
      </text>
    </comment>
    <comment ref="H107" authorId="69" shapeId="0" xr:uid="{F78C6349-BEDA-4712-A897-1FEB6ADCE4E6}">
      <text>
        <t>[Threaded comment]
Your version of Excel allows you to read this threaded comment; however, any edits to it will get removed if the file is opened in a newer version of Excel. Learn more: https://go.microsoft.com/fwlink/?linkid=870924
Comment:
    Minus change in Unbilled Receivables
(If there is an increase in assets, results in negative cash flow)</t>
      </text>
    </comment>
    <comment ref="H108" authorId="70" shapeId="0" xr:uid="{BF5E9D82-25FE-470A-8E1E-5BE11EEA9D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=2026 Advances &amp; Progress Billings (BS) - 2025 Advances &amp; Progress Billings 
(If there is an increase in liabilities, results in positive cash flow)
</t>
      </text>
    </comment>
    <comment ref="H109" authorId="71" shapeId="0" xr:uid="{812CA68D-79BF-4E4F-81F9-2C4068742389}">
      <text>
        <t>[Threaded comment]
Your version of Excel allows you to read this threaded comment; however, any edits to it will get removed if the file is opened in a newer version of Excel. Learn more: https://go.microsoft.com/fwlink/?linkid=870924
Comment:
    = 2025 Inventory - 2026 Inventory 
Inventory went up, negative in CFS</t>
      </text>
    </comment>
    <comment ref="H110" authorId="72" shapeId="0" xr:uid="{809AE375-C473-4387-B29D-B0C30E437B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Other CA (BS) − 2026 Other CA (BS)
(Increase in Assets result in negative cash flow) </t>
      </text>
    </comment>
    <comment ref="H111" authorId="73" shapeId="0" xr:uid="{9D7F316F-17BF-4FB3-B0FE-FC87EC6234D0}">
      <text>
        <t>[Threaded comment]
Your version of Excel allows you to read this threaded comment; however, any edits to it will get removed if the file is opened in a newer version of Excel. Learn more: https://go.microsoft.com/fwlink/?linkid=870924
Comment:
    = 2026 AP (BS) − 2025 AP (BS) 
(Increase in liabilities means positive cash flow)</t>
      </text>
    </comment>
    <comment ref="H112" authorId="74" shapeId="0" xr:uid="{CEC400AD-C561-4A30-9BB2-CA4E9DB69447}">
      <text>
        <t>[Threaded comment]
Your version of Excel allows you to read this threaded comment; however, any edits to it will get removed if the file is opened in a newer version of Excel. Learn more: https://go.microsoft.com/fwlink/?linkid=870924
Comment:
    = 2026 Liabilities - 2025 Liabilities
(Increase in liabilities means positive cash flow)</t>
      </text>
    </comment>
    <comment ref="H113" authorId="75" shapeId="0" xr:uid="{4A83F404-C9A2-46C7-9506-E1EF1742A4DE}">
      <text>
        <t>[Threaded comment]
Your version of Excel allows you to read this threaded comment; however, any edits to it will get removed if the file is opened in a newer version of Excel. Learn more: https://go.microsoft.com/fwlink/?linkid=870924
Comment:
    0 as forecast is held flat</t>
      </text>
    </comment>
    <comment ref="H114" authorId="76" shapeId="0" xr:uid="{48A8B806-0B54-4F16-8A9B-5449EA0673F3}">
      <text>
        <t>[Threaded comment]
Your version of Excel allows you to read this threaded comment; however, any edits to it will get removed if the file is opened in a newer version of Excel. Learn more: https://go.microsoft.com/fwlink/?linkid=870924
Comment:
    0 as forecast is held flat</t>
      </text>
    </comment>
    <comment ref="H115" authorId="77" shapeId="0" xr:uid="{7FFEBBFF-5D9C-4BFD-9657-AA07CCCF16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116" authorId="78" shapeId="0" xr:uid="{BC23432E-35D7-4C91-BB36-3B8971C0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= (2026 BS balance - 2025 BS balance)
(A decrease in assets means positive cash flow)</t>
      </text>
    </comment>
    <comment ref="H117" authorId="79" shapeId="0" xr:uid="{C43B1633-B4E0-4CF6-9023-271AD363286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B119" authorId="80" shapeId="0" xr:uid="{3406BCD8-C23B-47A2-8911-97DD0FF0B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Payments to Acquire Property, Plant and Equipment</t>
      </text>
    </comment>
    <comment ref="H119" authorId="81" shapeId="0" xr:uid="{6B97D321-1CD9-43E7-8CB5-8D4B80105B9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</t>
      </text>
    </comment>
    <comment ref="H120" authorId="82" shapeId="0" xr:uid="{4D3C0DCE-13AE-4FE3-9352-785F2D5E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21" authorId="83" shapeId="0" xr:uid="{6BCFBAF5-47C0-476F-8B84-2B2FCEB0D212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2" authorId="84" shapeId="0" xr:uid="{C0D67968-DD41-4C7C-A6EC-F945E41037B8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3" authorId="85" shapeId="0" xr:uid="{8E6376C5-2961-4711-B206-F04555A70644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24" authorId="86" shapeId="0" xr:uid="{D4DAA8F8-ADD5-4E4C-9817-F0478F5E63A3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25" authorId="87" shapeId="0" xr:uid="{4700DE3E-E3F0-42B6-B9F2-C0D6D39111C3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126" authorId="88" shapeId="0" xr:uid="{76663011-AFEF-4E06-A983-640D69F7354B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7" authorId="89" shapeId="0" xr:uid="{E9384446-E2E6-4EAA-912C-AA254CC96811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8" authorId="90" shapeId="0" xr:uid="{B61385CD-4D45-43DD-A9B8-1F9A74DDBE7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30" authorId="91" shapeId="0" xr:uid="{2688BE2C-FA58-404B-A32E-60699529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due to volatile nature</t>
      </text>
    </comment>
    <comment ref="H131" authorId="92" shapeId="0" xr:uid="{7E2FEC11-F235-4343-9ED2-AC7B158396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Holding flat due to volatile nature
</t>
      </text>
    </comment>
    <comment ref="H132" authorId="93" shapeId="0" xr:uid="{5C64ACA4-E29F-463F-B779-E9272719307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Zero, one off in 2024</t>
      </text>
    </comment>
    <comment ref="H133" authorId="94" shapeId="0" xr:uid="{9A9E8B3D-B775-48CF-9620-F2C10C0EC303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Zero, one off in 2024</t>
      </text>
    </comment>
    <comment ref="H134" authorId="95" shapeId="0" xr:uid="{68D538B7-3B2D-4332-865D-5AD5BC49052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35" authorId="96" shapeId="0" xr:uid="{84FA0DD2-4274-4155-A7D5-B607DD46069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37" authorId="97" shapeId="0" xr:uid="{0CF63F11-B143-4E7B-A7B4-DCEEDCB5A0B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due to volatile nature</t>
      </text>
    </comment>
    <comment ref="H139" authorId="98" shapeId="0" xr:uid="{6D078522-323F-412D-9378-145142E98D7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</commentList>
</comments>
</file>

<file path=xl/sharedStrings.xml><?xml version="1.0" encoding="utf-8"?>
<sst xmlns="http://schemas.openxmlformats.org/spreadsheetml/2006/main" count="145" uniqueCount="136">
  <si>
    <t>Income Statement</t>
  </si>
  <si>
    <t>Revenue</t>
  </si>
  <si>
    <t>Cost of Goods Sold (COGS)</t>
  </si>
  <si>
    <t>Gross Profit</t>
  </si>
  <si>
    <t>Expenses</t>
  </si>
  <si>
    <t>Taxes</t>
  </si>
  <si>
    <t>SG&amp;A Expenses</t>
  </si>
  <si>
    <t>Operating Expenses</t>
  </si>
  <si>
    <t>Operating Income (EBIT)</t>
  </si>
  <si>
    <t>Interest Expense</t>
  </si>
  <si>
    <t>Earnings Before Tax (EBT)</t>
  </si>
  <si>
    <t>Other Income</t>
  </si>
  <si>
    <t>Balance Statement</t>
  </si>
  <si>
    <t>Cash</t>
  </si>
  <si>
    <t>Inventory</t>
  </si>
  <si>
    <t>PP&amp;E</t>
  </si>
  <si>
    <t>Accounts Payable</t>
  </si>
  <si>
    <t>Short-term Investments</t>
  </si>
  <si>
    <t>Total Current Assets</t>
  </si>
  <si>
    <t>Other Current Assets</t>
  </si>
  <si>
    <t>Total Assets</t>
  </si>
  <si>
    <t>Long-term Debt</t>
  </si>
  <si>
    <t>Total Liabilities</t>
  </si>
  <si>
    <t>Total Current Liabilities</t>
  </si>
  <si>
    <t>Additional Paid-in Capital</t>
  </si>
  <si>
    <t>Treasury Stock</t>
  </si>
  <si>
    <t>Retained Earnings</t>
  </si>
  <si>
    <t>Total Equity</t>
  </si>
  <si>
    <t>Unbilled Receivables</t>
  </si>
  <si>
    <t>Goodwill</t>
  </si>
  <si>
    <t>Acquired Intangibles Assets, Net</t>
  </si>
  <si>
    <t>Deferred Income Taxes</t>
  </si>
  <si>
    <t>Investments</t>
  </si>
  <si>
    <t>Current Portion of Financing Receivables</t>
  </si>
  <si>
    <t>Accrued Liabilities</t>
  </si>
  <si>
    <t>Advances and Progress Billings</t>
  </si>
  <si>
    <t>Short-term debt and current portion of long-term debt</t>
  </si>
  <si>
    <t>Accrued Retiree Health Care</t>
  </si>
  <si>
    <t>Accrued Pension Plan Liabilities</t>
  </si>
  <si>
    <t>Other Long-Term Liabilities</t>
  </si>
  <si>
    <t>Common Stock</t>
  </si>
  <si>
    <t>Accumulated Other Comprehensive Loss</t>
  </si>
  <si>
    <t>Total Shareholder Equity</t>
  </si>
  <si>
    <t>Non-controlling Interests</t>
  </si>
  <si>
    <t>Total Liabilities and Equity</t>
  </si>
  <si>
    <t>Mandatory Convertible Preferred Stock</t>
  </si>
  <si>
    <t>Gains on Dispositions, Net</t>
  </si>
  <si>
    <t>Income from Operating Investments, Net</t>
  </si>
  <si>
    <t>Cash Flow Statement</t>
  </si>
  <si>
    <t>Net Income</t>
  </si>
  <si>
    <t>Net Earnings (Net Income)</t>
  </si>
  <si>
    <t>Changes in Assets and Liabilities</t>
  </si>
  <si>
    <t>Accounts Receivables</t>
  </si>
  <si>
    <t>Advances &amp; Progress Billings</t>
  </si>
  <si>
    <t>Change in Inventory</t>
  </si>
  <si>
    <t>Cash Flow from Operating Activities</t>
  </si>
  <si>
    <t>Capital Expenditure</t>
  </si>
  <si>
    <t>Cash Flow from Investing Activities</t>
  </si>
  <si>
    <t>Cash Flow from Financing Activities</t>
  </si>
  <si>
    <t>Net Change in Cash</t>
  </si>
  <si>
    <t>Shared-Based Plans Expense</t>
  </si>
  <si>
    <t>Treasury Shares Issued for 401(K) Contribution</t>
  </si>
  <si>
    <t>777X and 767 Reach-Forward Losses</t>
  </si>
  <si>
    <t>Other Non-Cash Items, Net</t>
  </si>
  <si>
    <t>Income Taxes Receivables, Payable and Deferred</t>
  </si>
  <si>
    <t>Pension and Other Postretirement Plans</t>
  </si>
  <si>
    <t xml:space="preserve">Other </t>
  </si>
  <si>
    <t>Proceeds from disposals of PP&amp;E</t>
  </si>
  <si>
    <t>Contributions to Investments</t>
  </si>
  <si>
    <t>Proceeds from Dispositions</t>
  </si>
  <si>
    <t>Acquisitions, Net of Cash Acquired</t>
  </si>
  <si>
    <t>Proceeds from Investments</t>
  </si>
  <si>
    <t>Supplier Notes Receivable</t>
  </si>
  <si>
    <t>Repayments on Supplier Notes Receivable</t>
  </si>
  <si>
    <t>Purchase of Distribution Rights</t>
  </si>
  <si>
    <t>Other</t>
  </si>
  <si>
    <t>New Borrowings</t>
  </si>
  <si>
    <t>Debt Repayments</t>
  </si>
  <si>
    <t>Mandatory Convertible Preferred Stock Issuance</t>
  </si>
  <si>
    <t>Stock Options Exercised</t>
  </si>
  <si>
    <t>Employee Taxes on Share-Based Payment</t>
  </si>
  <si>
    <t>Dividends Paid on Mandatory Convertible Preferred Stock</t>
  </si>
  <si>
    <t>Impairment/Asset Impairment Charges, Net</t>
  </si>
  <si>
    <t>Customer Financing Valuation Adjustments</t>
  </si>
  <si>
    <t>Common Stock Issuance, Net Issuance Costs</t>
  </si>
  <si>
    <t>Effect of Exchange Rate Changes on Cash/Cash Equivalents</t>
  </si>
  <si>
    <t>Closing Cash (incl. restricted)</t>
  </si>
  <si>
    <t>Opening Cash (incl. restricted)</t>
  </si>
  <si>
    <t>Less Restricted Cash</t>
  </si>
  <si>
    <t>Cash &amp; Equivalents (End of Year)</t>
  </si>
  <si>
    <t>Assumptions</t>
  </si>
  <si>
    <t>Revenue and Growth</t>
  </si>
  <si>
    <t>Revenue Growth Rate (%)</t>
  </si>
  <si>
    <t>Profitability</t>
  </si>
  <si>
    <t>Gross Margin %</t>
  </si>
  <si>
    <t>COGS % of Revenue</t>
  </si>
  <si>
    <t>R&amp;D % of Revenue</t>
  </si>
  <si>
    <t>SG&amp;A % of Revenue</t>
  </si>
  <si>
    <t>EBIT Margin %</t>
  </si>
  <si>
    <t>Net Income Margin %</t>
  </si>
  <si>
    <t>Tax</t>
  </si>
  <si>
    <t>Effective Tax Rate</t>
  </si>
  <si>
    <t>Capex % of Revenue</t>
  </si>
  <si>
    <t>Capex % of PP&amp;E</t>
  </si>
  <si>
    <t>D&amp;A % of Revenue</t>
  </si>
  <si>
    <t>Working Capital</t>
  </si>
  <si>
    <t>Leverage &amp; Returns</t>
  </si>
  <si>
    <t>Net Debt ($M)</t>
  </si>
  <si>
    <t>Net Debt / EBITDA</t>
  </si>
  <si>
    <t>Interest Coverage (x)</t>
  </si>
  <si>
    <t>Interest % of Debt</t>
  </si>
  <si>
    <t>Basic EPS</t>
  </si>
  <si>
    <t>Capex (Capital Expenditure)</t>
  </si>
  <si>
    <t>Cash and Equivalent matching with Cash (Balance Sheet) Check</t>
  </si>
  <si>
    <t>Total Asset matching Total Liabilities and Equity Check</t>
  </si>
  <si>
    <t>Basic Shares Outstanding (Millions)</t>
  </si>
  <si>
    <t>Diluted Shares Outstanding (Millions</t>
  </si>
  <si>
    <t>Less: Noncontrolling Interests</t>
  </si>
  <si>
    <t>Net Earnings to Boeing Shareholders</t>
  </si>
  <si>
    <t>Less: Mandatory Convertible Preferred Dividends</t>
  </si>
  <si>
    <t>Net Earnings to Common Shareholders</t>
  </si>
  <si>
    <t>Diluted Basic EPS</t>
  </si>
  <si>
    <t>Advances &amp; Billings % of Revenue</t>
  </si>
  <si>
    <t>Depreciation &amp; Amortization (D&amp;A)</t>
  </si>
  <si>
    <t>Financing Receivables and Operating Leases Equipment, Net</t>
  </si>
  <si>
    <t>Financing Receivables and Operating Lease Equipment, Net</t>
  </si>
  <si>
    <t>The Boeing Company</t>
  </si>
  <si>
    <t xml:space="preserve">   Three Statement Financial Model &amp; DCF Valuation</t>
  </si>
  <si>
    <t>Prepared by</t>
  </si>
  <si>
    <t>Tim Nguyen</t>
  </si>
  <si>
    <t>Date</t>
  </si>
  <si>
    <t>Research and Development (R&amp;D)</t>
  </si>
  <si>
    <t>Days Sales Outstanding (Days)</t>
  </si>
  <si>
    <t>Days Inventory Outstanding (Days)</t>
  </si>
  <si>
    <t>Days Payable Outstanding (Days)</t>
  </si>
  <si>
    <t>Other Non Current 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</si>
</sst>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(#,##0\)_-;_-* &quot;-&quot;_-;_-@_-"/>
    <numFmt numFmtId="165" formatCode="0.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Open Sans"/>
      <family val="2"/>
    </font>
    <font>
      <b/>
      <sz val="10"/>
      <color theme="1"/>
      <name val="Open Sans"/>
      <family val="2"/>
    </font>
    <font>
      <b/>
      <sz val="10"/>
      <color rgb="FF0000FF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b/>
      <sz val="10"/>
      <name val="Open Sans"/>
      <family val="2"/>
    </font>
    <font>
      <sz val="10"/>
      <name val="Open Sans"/>
      <family val="2"/>
    </font>
    <font>
      <u val="singleAccounting"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33A0"/>
      <name val="Aptos Narrow"/>
      <family val="2"/>
      <scheme val="minor"/>
    </font>
    <font>
      <sz val="28"/>
      <color theme="0"/>
      <name val="Open Sans"/>
      <family val="2"/>
    </font>
    <font>
      <sz val="11"/>
      <color theme="0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0033A0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9">
    <xf numFmtId="0" fontId="0" fillId="0" borderId="0" xfId="0"/>
    <xf numFmtId="37" fontId="2" fillId="2" borderId="0" xfId="0" applyNumberFormat="1" applyFont="1" applyFill="1" applyAlignment="1">
      <alignment vertical="center"/>
    </xf>
    <xf numFmtId="0" fontId="2" fillId="2" borderId="0" xfId="1" applyNumberFormat="1" applyFont="1" applyFill="1" applyAlignment="1"/>
    <xf numFmtId="164" fontId="3" fillId="0" borderId="0" xfId="1" applyNumberFormat="1" applyFont="1"/>
    <xf numFmtId="164" fontId="5" fillId="0" borderId="0" xfId="1" applyNumberFormat="1" applyFont="1" applyBorder="1"/>
    <xf numFmtId="164" fontId="6" fillId="0" borderId="0" xfId="1" applyNumberFormat="1" applyFont="1" applyBorder="1"/>
    <xf numFmtId="164" fontId="3" fillId="0" borderId="1" xfId="1" applyNumberFormat="1" applyFont="1" applyBorder="1"/>
    <xf numFmtId="164" fontId="7" fillId="0" borderId="1" xfId="1" applyNumberFormat="1" applyFont="1" applyBorder="1"/>
    <xf numFmtId="164" fontId="3" fillId="0" borderId="0" xfId="1" applyNumberFormat="1" applyFont="1" applyBorder="1"/>
    <xf numFmtId="164" fontId="4" fillId="0" borderId="0" xfId="1" applyNumberFormat="1" applyFont="1" applyBorder="1"/>
    <xf numFmtId="164" fontId="5" fillId="0" borderId="0" xfId="1" applyNumberFormat="1" applyFont="1"/>
    <xf numFmtId="164" fontId="6" fillId="0" borderId="0" xfId="1" applyNumberFormat="1" applyFont="1"/>
    <xf numFmtId="164" fontId="3" fillId="0" borderId="3" xfId="1" applyNumberFormat="1" applyFont="1" applyBorder="1"/>
    <xf numFmtId="164" fontId="7" fillId="0" borderId="3" xfId="1" applyNumberFormat="1" applyFont="1" applyBorder="1"/>
    <xf numFmtId="164" fontId="5" fillId="0" borderId="0" xfId="1" applyNumberFormat="1" applyFont="1" applyBorder="1" applyAlignment="1">
      <alignment horizontal="left"/>
    </xf>
    <xf numFmtId="164" fontId="3" fillId="0" borderId="2" xfId="1" applyNumberFormat="1" applyFont="1" applyBorder="1"/>
    <xf numFmtId="164" fontId="5" fillId="0" borderId="0" xfId="1" applyNumberFormat="1" applyFont="1" applyFill="1" applyBorder="1" applyAlignment="1">
      <alignment horizontal="left"/>
    </xf>
    <xf numFmtId="164" fontId="7" fillId="0" borderId="2" xfId="1" applyNumberFormat="1" applyFont="1" applyBorder="1"/>
    <xf numFmtId="164" fontId="6" fillId="0" borderId="0" xfId="1" applyNumberFormat="1" applyFont="1" applyFill="1" applyBorder="1"/>
    <xf numFmtId="0" fontId="0" fillId="0" borderId="4" xfId="0" applyBorder="1"/>
    <xf numFmtId="164" fontId="6" fillId="0" borderId="4" xfId="1" applyNumberFormat="1" applyFont="1" applyBorder="1"/>
    <xf numFmtId="164" fontId="7" fillId="0" borderId="5" xfId="1" applyNumberFormat="1" applyFont="1" applyBorder="1"/>
    <xf numFmtId="164" fontId="4" fillId="0" borderId="2" xfId="1" applyNumberFormat="1" applyFont="1" applyBorder="1"/>
    <xf numFmtId="164" fontId="4" fillId="0" borderId="8" xfId="1" applyNumberFormat="1" applyFont="1" applyBorder="1"/>
    <xf numFmtId="164" fontId="3" fillId="0" borderId="10" xfId="1" applyNumberFormat="1" applyFont="1" applyBorder="1"/>
    <xf numFmtId="164" fontId="7" fillId="0" borderId="10" xfId="1" applyNumberFormat="1" applyFont="1" applyBorder="1"/>
    <xf numFmtId="164" fontId="7" fillId="0" borderId="9" xfId="1" applyNumberFormat="1" applyFont="1" applyBorder="1"/>
    <xf numFmtId="0" fontId="0" fillId="0" borderId="1" xfId="0" applyBorder="1"/>
    <xf numFmtId="164" fontId="3" fillId="0" borderId="3" xfId="1" applyNumberFormat="1" applyFont="1" applyFill="1" applyBorder="1" applyAlignment="1">
      <alignment horizontal="left"/>
    </xf>
    <xf numFmtId="164" fontId="7" fillId="0" borderId="13" xfId="1" applyNumberFormat="1" applyFont="1" applyBorder="1"/>
    <xf numFmtId="164" fontId="3" fillId="0" borderId="10" xfId="1" applyNumberFormat="1" applyFont="1" applyBorder="1" applyAlignment="1">
      <alignment horizontal="left"/>
    </xf>
    <xf numFmtId="164" fontId="3" fillId="0" borderId="1" xfId="1" applyNumberFormat="1" applyFont="1" applyBorder="1" applyAlignment="1">
      <alignment horizontal="left"/>
    </xf>
    <xf numFmtId="0" fontId="0" fillId="0" borderId="13" xfId="0" applyBorder="1"/>
    <xf numFmtId="164" fontId="6" fillId="0" borderId="14" xfId="1" applyNumberFormat="1" applyFont="1" applyFill="1" applyBorder="1"/>
    <xf numFmtId="164" fontId="6" fillId="0" borderId="13" xfId="1" applyNumberFormat="1" applyFont="1" applyFill="1" applyBorder="1"/>
    <xf numFmtId="164" fontId="6" fillId="0" borderId="8" xfId="1" applyNumberFormat="1" applyFont="1" applyFill="1" applyBorder="1"/>
    <xf numFmtId="164" fontId="3" fillId="0" borderId="10" xfId="1" applyNumberFormat="1" applyFont="1" applyFill="1" applyBorder="1" applyAlignment="1">
      <alignment horizontal="left"/>
    </xf>
    <xf numFmtId="164" fontId="6" fillId="0" borderId="3" xfId="1" applyNumberFormat="1" applyFont="1" applyFill="1" applyBorder="1"/>
    <xf numFmtId="164" fontId="6" fillId="0" borderId="5" xfId="1" applyNumberFormat="1" applyFont="1" applyFill="1" applyBorder="1"/>
    <xf numFmtId="0" fontId="0" fillId="0" borderId="0" xfId="0" applyAlignment="1">
      <alignment horizontal="right"/>
    </xf>
    <xf numFmtId="164" fontId="5" fillId="0" borderId="0" xfId="1" applyNumberFormat="1" applyFont="1" applyFill="1" applyBorder="1"/>
    <xf numFmtId="164" fontId="7" fillId="0" borderId="8" xfId="1" applyNumberFormat="1" applyFont="1" applyBorder="1"/>
    <xf numFmtId="164" fontId="8" fillId="0" borderId="0" xfId="1" applyNumberFormat="1" applyFont="1" applyBorder="1"/>
    <xf numFmtId="10" fontId="8" fillId="0" borderId="0" xfId="1" applyNumberFormat="1" applyFont="1" applyBorder="1"/>
    <xf numFmtId="0" fontId="8" fillId="0" borderId="2" xfId="1" applyNumberFormat="1" applyFont="1" applyBorder="1"/>
    <xf numFmtId="0" fontId="9" fillId="0" borderId="2" xfId="0" applyFont="1" applyBorder="1"/>
    <xf numFmtId="164" fontId="8" fillId="0" borderId="1" xfId="1" applyNumberFormat="1" applyFont="1" applyBorder="1"/>
    <xf numFmtId="164" fontId="8" fillId="0" borderId="0" xfId="1" applyNumberFormat="1" applyFont="1" applyBorder="1" applyAlignment="1">
      <alignment horizontal="right"/>
    </xf>
    <xf numFmtId="165" fontId="6" fillId="0" borderId="0" xfId="1" applyNumberFormat="1" applyFont="1" applyBorder="1"/>
    <xf numFmtId="164" fontId="6" fillId="0" borderId="14" xfId="1" applyNumberFormat="1" applyFont="1" applyBorder="1"/>
    <xf numFmtId="2" fontId="7" fillId="0" borderId="1" xfId="1" applyNumberFormat="1" applyFont="1" applyBorder="1"/>
    <xf numFmtId="2" fontId="7" fillId="0" borderId="10" xfId="1" applyNumberFormat="1" applyFont="1" applyBorder="1"/>
    <xf numFmtId="10" fontId="8" fillId="0" borderId="2" xfId="1" applyNumberFormat="1" applyFont="1" applyBorder="1"/>
    <xf numFmtId="0" fontId="11" fillId="3" borderId="0" xfId="0" applyFont="1" applyFill="1"/>
    <xf numFmtId="0" fontId="10" fillId="3" borderId="0" xfId="0" applyFont="1" applyFill="1"/>
    <xf numFmtId="0" fontId="0" fillId="3" borderId="0" xfId="0" applyFill="1"/>
    <xf numFmtId="10" fontId="8" fillId="0" borderId="4" xfId="1" applyNumberFormat="1" applyFont="1" applyBorder="1"/>
    <xf numFmtId="10" fontId="8" fillId="0" borderId="1" xfId="1" applyNumberFormat="1" applyFont="1" applyBorder="1"/>
    <xf numFmtId="10" fontId="8" fillId="0" borderId="11" xfId="1" applyNumberFormat="1" applyFont="1" applyBorder="1"/>
    <xf numFmtId="2" fontId="8" fillId="0" borderId="0" xfId="1" applyNumberFormat="1" applyFont="1" applyBorder="1"/>
    <xf numFmtId="2" fontId="8" fillId="0" borderId="1" xfId="1" applyNumberFormat="1" applyFont="1" applyBorder="1"/>
    <xf numFmtId="2" fontId="8" fillId="0" borderId="4" xfId="1" applyNumberFormat="1" applyFont="1" applyBorder="1"/>
    <xf numFmtId="2" fontId="8" fillId="0" borderId="11" xfId="1" applyNumberFormat="1" applyFont="1" applyBorder="1"/>
    <xf numFmtId="10" fontId="8" fillId="0" borderId="6" xfId="1" applyNumberFormat="1" applyFont="1" applyBorder="1"/>
    <xf numFmtId="164" fontId="8" fillId="0" borderId="4" xfId="1" applyNumberFormat="1" applyFont="1" applyBorder="1"/>
    <xf numFmtId="164" fontId="8" fillId="0" borderId="11" xfId="1" applyNumberFormat="1" applyFont="1" applyBorder="1"/>
    <xf numFmtId="164" fontId="8" fillId="0" borderId="6" xfId="1" applyNumberFormat="1" applyFont="1" applyBorder="1"/>
    <xf numFmtId="164" fontId="5" fillId="0" borderId="4" xfId="0" applyNumberFormat="1" applyFont="1" applyBorder="1"/>
    <xf numFmtId="164" fontId="5" fillId="0" borderId="0" xfId="0" applyNumberFormat="1" applyFont="1"/>
    <xf numFmtId="164" fontId="5" fillId="0" borderId="11" xfId="0" applyNumberFormat="1" applyFont="1" applyBorder="1"/>
    <xf numFmtId="164" fontId="5" fillId="0" borderId="1" xfId="0" applyNumberFormat="1" applyFont="1" applyBorder="1"/>
    <xf numFmtId="164" fontId="7" fillId="0" borderId="0" xfId="1" applyNumberFormat="1" applyFont="1" applyBorder="1"/>
    <xf numFmtId="164" fontId="7" fillId="0" borderId="6" xfId="1" applyNumberFormat="1" applyFont="1" applyBorder="1"/>
    <xf numFmtId="2" fontId="7" fillId="0" borderId="11" xfId="1" applyNumberFormat="1" applyFont="1" applyBorder="1"/>
    <xf numFmtId="2" fontId="7" fillId="0" borderId="12" xfId="1" applyNumberFormat="1" applyFont="1" applyBorder="1"/>
    <xf numFmtId="164" fontId="7" fillId="0" borderId="7" xfId="1" applyNumberFormat="1" applyFont="1" applyBorder="1"/>
    <xf numFmtId="10" fontId="6" fillId="0" borderId="1" xfId="1" applyNumberFormat="1" applyFont="1" applyBorder="1"/>
    <xf numFmtId="10" fontId="6" fillId="0" borderId="11" xfId="1" applyNumberFormat="1" applyFont="1" applyBorder="1"/>
    <xf numFmtId="37" fontId="2" fillId="2" borderId="11" xfId="0" applyNumberFormat="1" applyFont="1" applyFill="1" applyBorder="1" applyAlignment="1">
      <alignment vertical="center"/>
    </xf>
    <xf numFmtId="0" fontId="2" fillId="2" borderId="1" xfId="1" applyNumberFormat="1" applyFont="1" applyFill="1" applyBorder="1" applyAlignment="1"/>
    <xf numFmtId="0" fontId="2" fillId="2" borderId="13" xfId="1" applyNumberFormat="1" applyFont="1" applyFill="1" applyBorder="1" applyAlignment="1"/>
    <xf numFmtId="164" fontId="3" fillId="0" borderId="6" xfId="1" applyNumberFormat="1" applyFont="1" applyBorder="1"/>
    <xf numFmtId="0" fontId="0" fillId="0" borderId="14" xfId="0" applyBorder="1"/>
    <xf numFmtId="164" fontId="5" fillId="0" borderId="4" xfId="1" applyNumberFormat="1" applyFont="1" applyBorder="1" applyAlignment="1">
      <alignment horizontal="left"/>
    </xf>
    <xf numFmtId="10" fontId="8" fillId="0" borderId="13" xfId="1" applyNumberFormat="1" applyFont="1" applyBorder="1"/>
    <xf numFmtId="10" fontId="8" fillId="0" borderId="14" xfId="1" applyNumberFormat="1" applyFont="1" applyBorder="1"/>
    <xf numFmtId="164" fontId="5" fillId="0" borderId="4" xfId="1" applyNumberFormat="1" applyFont="1" applyBorder="1"/>
    <xf numFmtId="10" fontId="6" fillId="0" borderId="13" xfId="1" applyNumberFormat="1" applyFont="1" applyBorder="1"/>
    <xf numFmtId="164" fontId="5" fillId="0" borderId="4" xfId="1" applyNumberFormat="1" applyFont="1" applyFill="1" applyBorder="1"/>
    <xf numFmtId="2" fontId="8" fillId="0" borderId="13" xfId="1" applyNumberFormat="1" applyFont="1" applyBorder="1"/>
    <xf numFmtId="2" fontId="8" fillId="0" borderId="14" xfId="1" applyNumberFormat="1" applyFont="1" applyBorder="1"/>
    <xf numFmtId="164" fontId="8" fillId="0" borderId="13" xfId="1" applyNumberFormat="1" applyFont="1" applyBorder="1"/>
    <xf numFmtId="164" fontId="8" fillId="0" borderId="14" xfId="1" applyNumberFormat="1" applyFont="1" applyBorder="1" applyAlignment="1">
      <alignment horizontal="right"/>
    </xf>
    <xf numFmtId="164" fontId="5" fillId="0" borderId="6" xfId="1" applyNumberFormat="1" applyFont="1" applyFill="1" applyBorder="1"/>
    <xf numFmtId="10" fontId="8" fillId="0" borderId="8" xfId="1" applyNumberFormat="1" applyFont="1" applyBorder="1"/>
    <xf numFmtId="164" fontId="6" fillId="0" borderId="2" xfId="1" applyNumberFormat="1" applyFont="1" applyBorder="1"/>
    <xf numFmtId="164" fontId="7" fillId="0" borderId="4" xfId="1" applyNumberFormat="1" applyFont="1" applyBorder="1"/>
    <xf numFmtId="164" fontId="8" fillId="0" borderId="2" xfId="1" applyNumberFormat="1" applyFont="1" applyBorder="1"/>
    <xf numFmtId="164" fontId="6" fillId="0" borderId="4" xfId="1" applyNumberFormat="1" applyFont="1" applyFill="1" applyBorder="1"/>
    <xf numFmtId="164" fontId="8" fillId="0" borderId="4" xfId="1" applyNumberFormat="1" applyFont="1" applyFill="1" applyBorder="1"/>
    <xf numFmtId="164" fontId="8" fillId="0" borderId="0" xfId="1" applyNumberFormat="1" applyFont="1" applyFill="1" applyBorder="1"/>
    <xf numFmtId="164" fontId="7" fillId="0" borderId="11" xfId="1" applyNumberFormat="1" applyFont="1" applyBorder="1"/>
    <xf numFmtId="0" fontId="6" fillId="0" borderId="4" xfId="0" applyFont="1" applyBorder="1"/>
    <xf numFmtId="0" fontId="6" fillId="0" borderId="0" xfId="0" applyFont="1"/>
    <xf numFmtId="164" fontId="6" fillId="0" borderId="6" xfId="1" applyNumberFormat="1" applyFont="1" applyFill="1" applyBorder="1"/>
    <xf numFmtId="164" fontId="6" fillId="0" borderId="2" xfId="1" applyNumberFormat="1" applyFont="1" applyFill="1" applyBorder="1"/>
    <xf numFmtId="164" fontId="6" fillId="0" borderId="11" xfId="1" applyNumberFormat="1" applyFont="1" applyBorder="1"/>
    <xf numFmtId="164" fontId="3" fillId="0" borderId="4" xfId="0" applyNumberFormat="1" applyFont="1" applyBorder="1"/>
    <xf numFmtId="164" fontId="3" fillId="0" borderId="0" xfId="0" applyNumberFormat="1" applyFont="1"/>
    <xf numFmtId="0" fontId="5" fillId="0" borderId="0" xfId="0" applyFont="1"/>
    <xf numFmtId="164" fontId="5" fillId="0" borderId="6" xfId="0" applyNumberFormat="1" applyFont="1" applyBorder="1"/>
    <xf numFmtId="164" fontId="5" fillId="0" borderId="2" xfId="0" applyNumberFormat="1" applyFont="1" applyBorder="1"/>
    <xf numFmtId="0" fontId="5" fillId="0" borderId="0" xfId="0" applyFont="1" applyAlignment="1">
      <alignment horizontal="right"/>
    </xf>
    <xf numFmtId="164" fontId="5" fillId="0" borderId="12" xfId="0" applyNumberFormat="1" applyFont="1" applyBorder="1"/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3" fillId="3" borderId="0" xfId="0" applyFont="1" applyFill="1" applyAlignment="1">
      <alignment horizontal="left"/>
    </xf>
    <xf numFmtId="0" fontId="12" fillId="3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33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142874</xdr:colOff>
      <xdr:row>0</xdr:row>
      <xdr:rowOff>171450</xdr:rowOff>
    </xdr:from>
    <xdr:to>
      <xdr:col>3</xdr:col>
      <xdr:colOff>25529</xdr:colOff>
      <xdr:row>3</xdr:row>
      <xdr:rowOff>28575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C97D19-8011-EFC6-F84A-E7FC8ADF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4" y="171450"/>
          <a:ext cx="1711455" cy="4286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 Nguyen" id="{C44259D0-522D-4E8B-A167-570A2D87A088}" userId="S::tim.nguyen@simonds.com.au::72366ed0-dba2-4203-90d1-91f42db14a1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4-20T06:11:55.54" personId="{C44259D0-522D-4E8B-A167-570A2D87A088}" id="{055D5F0C-0A02-43EA-950D-294DE5635375}">
    <text>= (Current Revenue / Prior Revenue) - 1</text>
  </threadedComment>
  <threadedComment ref="H4" dT="2026-04-21T13:27:45.87" personId="{C44259D0-522D-4E8B-A167-570A2D87A088}" id="{9642E61D-A12C-4FC2-9EE1-52ABBE0D2278}">
    <text>CAGR</text>
  </threadedComment>
  <threadedComment ref="B6" dT="2026-04-20T06:11:30.21" personId="{C44259D0-522D-4E8B-A167-570A2D87A088}" id="{C2BC33A5-D0C0-4E4B-9056-CDED9D1C7B83}">
    <text>= Gross Profit / Revenue</text>
  </threadedComment>
  <threadedComment ref="B7" dT="2026-04-20T12:25:56.54" personId="{C44259D0-522D-4E8B-A167-570A2D87A088}" id="{7DFCA7F6-9A3C-4057-B292-C36464C66DAF}">
    <text xml:space="preserve">= COGS / Revenue </text>
  </threadedComment>
  <threadedComment ref="B8" dT="2026-04-20T12:26:12.59" personId="{C44259D0-522D-4E8B-A167-570A2D87A088}" id="{13F13D2F-A08A-4111-A835-FE6FBD97ECB9}">
    <text xml:space="preserve">= SG&amp;A / Revenue </text>
  </threadedComment>
  <threadedComment ref="B9" dT="2026-04-20T12:26:33.59" personId="{C44259D0-522D-4E8B-A167-570A2D87A088}" id="{5B93EEC1-D378-4268-ACFA-5729897E4E79}">
    <text xml:space="preserve">= R&amp;D / Revenue </text>
  </threadedComment>
  <threadedComment ref="B10" dT="2026-04-20T12:26:39.65" personId="{C44259D0-522D-4E8B-A167-570A2D87A088}" id="{DA9B49CD-FA7F-4574-A934-93ED6001B351}">
    <text xml:space="preserve">= EBIT / Revenue </text>
  </threadedComment>
  <threadedComment ref="B11" dT="2026-04-20T12:26:48.35" personId="{C44259D0-522D-4E8B-A167-570A2D87A088}" id="{88DB0522-55D8-4812-B813-124BB1AFEA83}">
    <text xml:space="preserve">= Net Income / Revenue </text>
  </threadedComment>
  <threadedComment ref="B13" dT="2026-04-20T06:54:21.17" personId="{C44259D0-522D-4E8B-A167-570A2D87A088}" id="{D444E2BF-F590-40CF-954C-ED8B52E75058}">
    <text xml:space="preserve"> Taxes / EBT — nm (not meaningful) in loss years. Use statutory rate of 21% as forecast assumption 
= Taxes / EBT </text>
  </threadedComment>
  <threadedComment ref="B15" dT="2026-04-20T12:27:04.55" personId="{C44259D0-522D-4E8B-A167-570A2D87A088}" id="{EA8FA246-8764-48C3-8B1F-AA45006D8E47}">
    <text xml:space="preserve">= Capex / Revenue </text>
  </threadedComment>
  <threadedComment ref="B16" dT="2026-04-20T12:27:28.59" personId="{C44259D0-522D-4E8B-A167-570A2D87A088}" id="{A0EBDB2E-4E83-4F19-B476-BA22DEDFA8E7}">
    <text xml:space="preserve">= Capex / PP&amp;E </text>
  </threadedComment>
  <threadedComment ref="B17" dT="2026-04-20T12:27:32.69" personId="{C44259D0-522D-4E8B-A167-570A2D87A088}" id="{097CDB56-F2D4-4881-BC19-7EDB46F7A35B}">
    <text xml:space="preserve">= D&amp;A / Revenue </text>
  </threadedComment>
  <threadedComment ref="B19" dT="2026-04-20T12:27:37.61" personId="{C44259D0-522D-4E8B-A167-570A2D87A088}" id="{2FAB5614-E802-466C-B7F7-A7998FC509FF}">
    <text xml:space="preserve">= Accounts Receivable / Revenue × 365 </text>
  </threadedComment>
  <threadedComment ref="H19" dT="2026-04-21T13:41:03.84" personId="{C44259D0-522D-4E8B-A167-570A2D87A088}" id="{FCBF5430-CC16-4FA7-A328-F055805876BF}">
    <text>Using 5 Year Average</text>
  </threadedComment>
  <threadedComment ref="B20" dT="2026-04-20T12:27:42.01" personId="{C44259D0-522D-4E8B-A167-570A2D87A088}" id="{FD6A5B35-3131-4842-8F2D-3FB1F51BA0DC}">
    <text xml:space="preserve">= Inventory / COGS × 365 </text>
  </threadedComment>
  <threadedComment ref="H20" dT="2026-04-21T13:41:10.84" personId="{C44259D0-522D-4E8B-A167-570A2D87A088}" id="{0E7DD524-690B-4527-A530-CA5E1EA00D3F}">
    <text xml:space="preserve">Using 3 Year Average
</text>
  </threadedComment>
  <threadedComment ref="B21" dT="2026-04-20T12:27:49.83" personId="{C44259D0-522D-4E8B-A167-570A2D87A088}" id="{0D16BCCB-0174-46A1-AC59-A92F3BA51CAF}">
    <text xml:space="preserve">= Accounts Payable / COGS × 365 </text>
  </threadedComment>
  <threadedComment ref="H21" dT="2026-04-21T13:41:14.10" personId="{C44259D0-522D-4E8B-A167-570A2D87A088}" id="{7BF5A409-3B9B-4BF6-9926-A316C2332D1A}">
    <text xml:space="preserve">Using 5 Year Average
</text>
  </threadedComment>
  <threadedComment ref="B22" dT="2026-04-20T12:28:03.77" personId="{C44259D0-522D-4E8B-A167-570A2D87A088}" id="{B185F72E-53E4-443E-AD15-F5590811DD24}">
    <text xml:space="preserve">= Advances &amp; Progress Billings / Revenue </text>
  </threadedComment>
  <threadedComment ref="B24" dT="2026-04-20T10:45:24.00" personId="{C44259D0-522D-4E8B-A167-570A2D87A088}" id="{9D6FFE3E-6A80-4A18-BAE1-FF9B3DF7F127}">
    <text xml:space="preserve">Net Debt = Short-term Debt + Long-term Debt − Cash − Short-term Investments
</text>
  </threadedComment>
  <threadedComment ref="B25" dT="2026-04-20T11:05:41.99" personId="{C44259D0-522D-4E8B-A167-570A2D87A088}" id="{0ACD9A4E-A6CB-4807-A557-5CCDA362CE4D}">
    <text xml:space="preserve">nm = not meaningful in loss years where EBITA is negative </text>
  </threadedComment>
  <threadedComment ref="B26" dT="2026-04-20T11:10:34.12" personId="{C44259D0-522D-4E8B-A167-570A2D87A088}" id="{2F685951-B4C8-4575-98BE-C71E921F6006}">
    <text xml:space="preserve">nm = not meaningful in loss years where EBITA is negative 
</text>
  </threadedComment>
  <threadedComment ref="B27" dT="2026-04-20T12:28:11.45" personId="{C44259D0-522D-4E8B-A167-570A2D87A088}" id="{735ECB3F-6B00-471D-B528-CF78FA9D8DCB}">
    <text xml:space="preserve">= Interest Expense / Total Debt </text>
  </threadedComment>
  <threadedComment ref="H27" dT="2026-04-25T05:57:40.86" personId="{C44259D0-522D-4E8B-A167-570A2D87A088}" id="{723A0937-6AEF-49F9-A01F-764A700BA8DF}">
    <text>Using 3 Year Average</text>
  </threadedComment>
  <threadedComment ref="H39" dT="2026-04-22T11:42:26.59" personId="{C44259D0-522D-4E8B-A167-570A2D87A088}" id="{E020734A-44B8-41B1-9F60-59BA644A2BE0}">
    <text>Using 3 Year Average</text>
  </threadedComment>
  <threadedComment ref="H41" dT="2026-04-26T14:51:00.30" personId="{C44259D0-522D-4E8B-A167-570A2D87A088}" id="{4444B2F3-5D63-47A9-821B-BE774CC0C6CD}">
    <text>Using 3 Year Average</text>
  </threadedComment>
  <threadedComment ref="H42" dT="2026-04-26T14:50:35.99" personId="{C44259D0-522D-4E8B-A167-570A2D87A088}" id="{31FA1DCD-E8AF-4359-80DF-460D0C1B3788}">
    <text>=Interest % of Debt * Total Debt</text>
  </threadedComment>
  <threadedComment ref="H44" dT="2026-04-26T01:47:47.12" personId="{C44259D0-522D-4E8B-A167-570A2D87A088}" id="{7EEE51B2-23C8-4486-A6A9-82B3A58CF94D}">
    <text>=EBT * Tax Rate</text>
  </threadedComment>
  <threadedComment ref="H48" dT="2026-04-22T12:01:08.82" personId="{C44259D0-522D-4E8B-A167-570A2D87A088}" id="{BF7762D6-2D19-4E5A-A42F-48F1758CDBF9}">
    <text xml:space="preserve">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ext>
  </threadedComment>
  <threadedComment ref="I48" dT="2026-04-22T12:01:17.84" personId="{C44259D0-522D-4E8B-A167-570A2D87A088}" id="{BD0AADAC-A367-4E56-B134-8D85E5D1F39A}">
    <text xml:space="preserve">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ext>
  </threadedComment>
  <threadedComment ref="B50" dT="2026-04-20T11:23:37.43" personId="{C44259D0-522D-4E8B-A167-570A2D87A088}" id="{8408FF94-C482-4CF7-B3B6-E64B1A7C83FA}">
    <text xml:space="preserve">Disclosed as basic weighted average common shares outstanding in the EPS footnote of the 10-K </text>
  </threadedComment>
  <threadedComment ref="B52" dT="2026-04-20T11:23:42.11" personId="{C44259D0-522D-4E8B-A167-570A2D87A088}" id="{D28620DE-7806-4031-A94C-5A70B9745900}">
    <text xml:space="preserve">Disclosed as diluted weighted average common shares outstanding in the EPS footnote of the 10-K 
</text>
  </threadedComment>
  <threadedComment ref="H57" dT="2026-04-26T01:20:27.54" personId="{C44259D0-522D-4E8B-A167-570A2D87A088}" id="{A220A4AC-D09C-42CC-AAFF-A3D7CABEAF78}">
    <text>Holding flat as I have no specific assumptions</text>
  </threadedComment>
  <threadedComment ref="H58" dT="2026-04-26T01:30:56.96" personId="{C44259D0-522D-4E8B-A167-570A2D87A088}" id="{55835481-3D66-47BC-A0B4-92FC7117D04A}">
    <text xml:space="preserve">2026 AR = (5yr Average DSO / 365) × 2026 Revenue
</text>
  </threadedComment>
  <threadedComment ref="H59" dT="2026-04-26T01:34:40.27" personId="{C44259D0-522D-4E8B-A167-570A2D87A088}" id="{F517D032-B01D-4DF2-B2E1-1155B2E900C9}">
    <text>Using 5 Year Average</text>
  </threadedComment>
  <threadedComment ref="H61" dT="2026-04-26T01:39:48.72" personId="{C44259D0-522D-4E8B-A167-570A2D87A088}" id="{2A6522A2-ECFE-452E-9069-22BB49335B60}">
    <text xml:space="preserve">2026 Inventory = (3yr Average DIO / 365) × 2026 COGS
</text>
  </threadedComment>
  <threadedComment ref="H62" dT="2026-04-26T01:43:15.67" personId="{C44259D0-522D-4E8B-A167-570A2D87A088}" id="{73E334A0-593A-41CB-8659-C7F0D149AD28}">
    <text>=2025 Other Current Assets * (1 + Revenue Growth Rate)</text>
  </threadedComment>
  <threadedComment ref="H64" dT="2026-04-26T01:47:04.90" personId="{C44259D0-522D-4E8B-A167-570A2D87A088}" id="{2C5DD1BA-6455-422A-8A06-F13DA0A1A21E}">
    <text>Declining portfolio; Boeing exiting customer financing. Linear run-off assumed.</text>
  </threadedComment>
  <threadedComment ref="H65" dT="2026-04-27T07:12:33.63" personId="{C44259D0-522D-4E8B-A167-570A2D87A088}" id="{38546E84-2507-4C66-843D-B4E8B55CE5FC}">
    <text xml:space="preserve">Prior Year PP&amp;E + CapEx - D&amp;A </text>
  </threadedComment>
  <threadedComment ref="H66" dT="2026-04-26T01:36:10.97" personId="{C44259D0-522D-4E8B-A167-570A2D87A088}" id="{781018CE-9A74-4BD7-B24A-7BBD80AB89E7}">
    <text>Holding flat, no acquisitions acquired</text>
  </threadedComment>
  <threadedComment ref="H67" dT="2026-04-26T02:00:40.10" personId="{C44259D0-522D-4E8B-A167-570A2D87A088}" id="{E3887C0E-50E1-411C-B626-EBECC05579F8}">
    <text>Using a 5 Year Average (No amortization portion of D&amp;A)</text>
  </threadedComment>
  <threadedComment ref="H68" dT="2026-04-26T02:01:08.78" personId="{C44259D0-522D-4E8B-A167-570A2D87A088}" id="{42B21807-10EE-4681-9B99-E76C8B4F8F19}">
    <text>Holding Flat</text>
  </threadedComment>
  <threadedComment ref="H69" dT="2026-04-26T02:01:25.90" personId="{C44259D0-522D-4E8B-A167-570A2D87A088}" id="{7ECBA987-631A-452A-B005-8DEB05A0D266}">
    <text>Holding Flat</text>
  </threadedComment>
  <threadedComment ref="H70" dT="2026-04-26T02:02:56.55" personId="{C44259D0-522D-4E8B-A167-570A2D87A088}" id="{DBC35067-876F-4FAD-ADB1-8027CB5EB694}">
    <text xml:space="preserve">= 2025 Other Non Current Assets * (1 + Revenue Growth Rate)
Keeping consistent with Other Current Assets 
</text>
  </threadedComment>
  <threadedComment ref="H72" dT="2026-04-26T02:05:52.79" personId="{C44259D0-522D-4E8B-A167-570A2D87A088}" id="{814AF812-3628-4A3F-BBD1-C79B9FB72DB1}">
    <text xml:space="preserve">2026 AP = (5yr Average DPO / 365) × 2026 COGS
</text>
  </threadedComment>
  <threadedComment ref="H73" dT="2026-04-26T02:07:07.78" personId="{C44259D0-522D-4E8B-A167-570A2D87A088}" id="{68022D32-F1F3-4230-804F-E42ACC6E65BC}">
    <text xml:space="preserve">= 2025 Accrued Liabilities * (1 + Revenue Growth Rate)
</text>
  </threadedComment>
  <threadedComment ref="H74" dT="2026-04-26T02:07:23.64" personId="{C44259D0-522D-4E8B-A167-570A2D87A088}" id="{0F4657DB-4F55-4126-9AA9-309AE70433C1}">
    <text xml:space="preserve">= 2025 Advances and Progress Billings * (1 + Revenue Growth Rate)
</text>
  </threadedComment>
  <threadedComment ref="H75" dT="2026-04-26T02:09:21.31" personId="{C44259D0-522D-4E8B-A167-570A2D87A088}" id="{6F50CB29-681B-4273-A7E2-EC93B37B267D}">
    <text>Holding flat, no debt schedule…debt is volatile hence not using averages</text>
  </threadedComment>
  <threadedComment ref="H77" dT="2026-04-26T02:31:30.41" personId="{C44259D0-522D-4E8B-A167-570A2D87A088}" id="{C8728A52-4B4C-4EE8-A0E5-D0AABDE46C6A}">
    <text>Using 5 Year Average</text>
  </threadedComment>
  <threadedComment ref="H78" dT="2026-04-26T02:18:59.65" personId="{C44259D0-522D-4E8B-A167-570A2D87A088}" id="{32311E65-3CCC-4F0B-8E2B-49A29C7C4C14}">
    <text>2026E Accrued Retiree Healthcare: Declining ~$190-200M/yr. Benefit obligation reducing through plan modifications and demographics. Trend: $3,528M (2021) → $2,091M (2025) → continuing decline.</text>
  </threadedComment>
  <threadedComment ref="H79" dT="2026-04-26T02:19:14.63" personId="{C44259D0-522D-4E8B-A167-570A2D87A088}" id="{2CC4C517-5135-4741-BDCB-AACD715CD406}">
    <text>2026E Pension Liabilities: Declining ~$300M/yr. Continued de-risking of pension portfolio; annual cash contributions ~$300-400M. Trend: $9,104M (2021) → $4,287M (2025).</text>
  </threadedComment>
  <threadedComment ref="H80" dT="2026-04-26T02:19:23.75" personId="{C44259D0-522D-4E8B-A167-570A2D87A088}" id="{ED508D21-4D41-4D7E-A2C6-47EBB330BC7F}">
    <text>Holding Flat</text>
  </threadedComment>
  <threadedComment ref="H81" dT="2026-04-26T02:19:28.70" personId="{C44259D0-522D-4E8B-A167-570A2D87A088}" id="{0EF33BA7-EA60-4068-A91B-07BCA37ADD16}">
    <text>Holding Flat</text>
  </threadedComment>
  <threadedComment ref="H83" dT="2026-04-26T14:24:36.39" personId="{C44259D0-522D-4E8B-A167-570A2D87A088}" id="{BF4AE64D-C9B3-4377-AA66-B017FC2C584D}">
    <text>Holding Flat</text>
  </threadedComment>
  <threadedComment ref="H84" dT="2026-04-26T14:25:45.62" personId="{C44259D0-522D-4E8B-A167-570A2D87A088}" id="{411E2319-1AA4-4B9C-B4FE-BDB461FBF768}">
    <text>=2025 Additional Paid-in Capital + Shared-Based Plans Expense</text>
  </threadedComment>
  <threadedComment ref="H85" dT="2026-04-26T14:27:55.07" personId="{C44259D0-522D-4E8B-A167-570A2D87A088}" id="{83C8CD51-E80A-4656-9959-554450CFFE03}">
    <text>=Treasury Stock + Treasury Shares Issued for 401(K) Contribution</text>
  </threadedComment>
  <threadedComment ref="H86" dT="2026-04-26T14:25:12.24" personId="{C44259D0-522D-4E8B-A167-570A2D87A088}" id="{F5319C8C-F8F3-4693-ABB0-C77AE715A152}">
    <text>=Retained Earnings + Net Income</text>
  </threadedComment>
  <threadedComment ref="H87" dT="2026-04-26T14:24:40.41" personId="{C44259D0-522D-4E8B-A167-570A2D87A088}" id="{FCB91F4A-21DD-4545-A98C-5E64EEF23ECD}">
    <text xml:space="preserve">Holding Flat
</text>
  </threadedComment>
  <threadedComment ref="H89" dT="2026-04-26T14:29:54.44" personId="{C44259D0-522D-4E8B-A167-570A2D87A088}" id="{F849684E-55F3-45B7-A694-57CDAAB97F7C}">
    <text>2026E Mandatory Convertible Preferred: $6M. Converts to common equity in 2027</text>
  </threadedComment>
  <threadedComment ref="H97" dT="2026-04-26T14:23:45.01" personId="{C44259D0-522D-4E8B-A167-570A2D87A088}" id="{31BB17E1-73EB-438A-A0DB-D6025F734539}">
    <text xml:space="preserve">Using a 5 Year Average
</text>
  </threadedComment>
  <threadedComment ref="H98" dT="2026-04-26T14:26:50.58" personId="{C44259D0-522D-4E8B-A167-570A2D87A088}" id="{6B2DD525-3FDF-4831-9A1B-E82B4EACA719}">
    <text>Using 5 Year Average</text>
  </threadedComment>
  <threadedComment ref="H99" dT="2026-04-26T01:54:08.31" personId="{C44259D0-522D-4E8B-A167-570A2D87A088}" id="{949B10D3-3C46-4F0B-BC2A-F0EB9AC0FE1F}">
    <text>=D%A % of Revenue * Revenue</text>
  </threadedComment>
  <threadedComment ref="H100" dT="2026-04-26T23:18:35.47" personId="{C44259D0-522D-4E8B-A167-570A2D87A088}" id="{48544A9C-5A13-48D1-917C-3108BF63C7D6}">
    <text>Unpredictable</text>
  </threadedComment>
  <threadedComment ref="H101" dT="2026-04-26T23:23:24.32" personId="{C44259D0-522D-4E8B-A167-570A2D87A088}" id="{5A51DCBB-5374-41B9-A10B-D554B01E1BF6}">
    <text>Holding as 0</text>
  </threadedComment>
  <threadedComment ref="H102" dT="2026-04-26T23:20:20.93" personId="{C44259D0-522D-4E8B-A167-570A2D87A088}" id="{E50A0D2D-3BE6-4CD1-9F5F-29554D1EAC8F}">
    <text>One time item</text>
  </threadedComment>
  <threadedComment ref="B103" dT="2026-04-20T03:26:43.70" personId="{C44259D0-522D-4E8B-A167-570A2D87A088}" id="{DF0D4C79-7457-440F-B77D-C897944542A1}">
    <text>777X and 787 Reach Forward Losses in 2021</text>
  </threadedComment>
  <threadedComment ref="H103" dT="2026-04-26T23:23:05.37" personId="{C44259D0-522D-4E8B-A167-570A2D87A088}" id="{68DB4377-F52A-4AAF-83A8-BD591DFD5B88}">
    <text>0 as this is programme specific</text>
  </threadedComment>
  <threadedComment ref="H104" dT="2026-04-26T23:21:13.04" personId="{C44259D0-522D-4E8B-A167-570A2D87A088}" id="{BFF3F063-7346-4FA0-B987-FBA065DF5BF0}">
    <text>Using 3 Year Average</text>
  </threadedComment>
  <threadedComment ref="H106" dT="2026-04-26T23:39:24.96" personId="{C44259D0-522D-4E8B-A167-570A2D87A088}" id="{0006161D-3BC5-4E50-B74E-B622B762275E}">
    <text>Minus the change in AR
(If there is an increase in assets, results in negative cash flow)</text>
  </threadedComment>
  <threadedComment ref="H107" dT="2026-04-26T23:39:39.14" personId="{C44259D0-522D-4E8B-A167-570A2D87A088}" id="{F78C6349-BEDA-4712-A897-1FEB6ADCE4E6}">
    <text>Minus change in Unbilled Receivables
(If there is an increase in assets, results in negative cash flow)</text>
  </threadedComment>
  <threadedComment ref="H108" dT="2026-04-27T06:14:00.09" personId="{C44259D0-522D-4E8B-A167-570A2D87A088}" id="{BF5E9D82-25FE-470A-8E1E-5BE11EEA9DB7}">
    <text xml:space="preserve">=2026 Advances &amp; Progress Billings (BS) - 2025 Advances &amp; Progress Billings 
(If there is an increase in liabilities, results in positive cash flow)
</text>
  </threadedComment>
  <threadedComment ref="H109" dT="2026-04-27T06:20:25.69" personId="{C44259D0-522D-4E8B-A167-570A2D87A088}" id="{812CA68D-79BF-4E4F-81F9-2C4068742389}">
    <text>= 2025 Inventory - 2026 Inventory 
Inventory went up, negative in CFS</text>
  </threadedComment>
  <threadedComment ref="H110" dT="2026-04-27T06:31:41.17" personId="{C44259D0-522D-4E8B-A167-570A2D87A088}" id="{809AE375-C473-4387-B29D-B0C30E437B93}">
    <text xml:space="preserve">= 2025 Other CA (BS) − 2026 Other CA (BS)
(Increase in Assets result in negative cash flow) </text>
  </threadedComment>
  <threadedComment ref="H111" dT="2026-04-27T06:32:29.43" personId="{C44259D0-522D-4E8B-A167-570A2D87A088}" id="{9D7F316F-17BF-4FB3-B0FE-FC87EC6234D0}">
    <text>= 2026 AP (BS) − 2025 AP (BS) 
(Increase in liabilities means positive cash flow)</text>
  </threadedComment>
  <threadedComment ref="H112" dT="2026-04-27T06:33:59.63" personId="{C44259D0-522D-4E8B-A167-570A2D87A088}" id="{CEC400AD-C561-4A30-9BB2-CA4E9DB69447}">
    <text>= 2026 Liabilities - 2025 Liabilities
(Increase in liabilities means positive cash flow)</text>
  </threadedComment>
  <threadedComment ref="H113" dT="2026-04-27T06:36:11.27" personId="{C44259D0-522D-4E8B-A167-570A2D87A088}" id="{4A83F404-C9A2-46C7-9506-E1EF1742A4DE}">
    <text>0 as forecast is held flat</text>
  </threadedComment>
  <threadedComment ref="H114" dT="2026-04-27T06:36:15.42" personId="{C44259D0-522D-4E8B-A167-570A2D87A088}" id="{48A8B806-0B54-4F16-8A9B-5449EA0673F3}">
    <text>0 as forecast is held flat</text>
  </threadedComment>
  <threadedComment ref="H115" dT="2026-04-26T23:41:31.74" personId="{C44259D0-522D-4E8B-A167-570A2D87A088}" id="{7FFEBBFF-5D9C-4BFD-9657-AA07CCCF1643}">
    <text>Using 3 Year Average</text>
  </threadedComment>
  <threadedComment ref="H116" dT="2026-04-27T06:39:21.47" personId="{C44259D0-522D-4E8B-A167-570A2D87A088}" id="{BC23432E-35D7-4C91-BB36-3B8971C0F0EF}">
    <text>= (2026 BS balance - 2025 BS balance)
(A decrease in assets means positive cash flow)</text>
  </threadedComment>
  <threadedComment ref="H117" dT="2026-04-26T23:41:39.54" personId="{C44259D0-522D-4E8B-A167-570A2D87A088}" id="{C43B1633-B4E0-4CF6-9023-271AD363286E}">
    <text>Using 3 Year Average</text>
  </threadedComment>
  <threadedComment ref="B119" dT="2026-04-20T08:39:06.63" personId="{C44259D0-522D-4E8B-A167-570A2D87A088}" id="{3406BCD8-C23B-47A2-8911-97DD0FF0B2D2}">
    <text>Payments to Acquire Property, Plant and Equipment</text>
  </threadedComment>
  <threadedComment ref="H119" dT="2026-04-26T01:54:13.91" personId="{C44259D0-522D-4E8B-A167-570A2D87A088}" id="{6B97D321-1CD9-43E7-8CB5-8D4B80105B9D}">
    <text>Using a 5 Year Average</text>
  </threadedComment>
  <threadedComment ref="H120" dT="2026-04-27T06:42:51.15" personId="{C44259D0-522D-4E8B-A167-570A2D87A088}" id="{4D3C0DCE-13AE-4FE3-9352-785F2D5EEE07}">
    <text>Using 5 Year Average</text>
  </threadedComment>
  <threadedComment ref="H121" dT="2026-04-27T06:43:26.06" personId="{C44259D0-522D-4E8B-A167-570A2D87A088}" id="{6BCFBAF5-47C0-476F-8B84-2B2FCEB0D212}">
    <text>Holding Flat at Zero</text>
  </threadedComment>
  <threadedComment ref="H122" dT="2026-04-27T06:43:43.62" personId="{C44259D0-522D-4E8B-A167-570A2D87A088}" id="{C0D67968-DD41-4C7C-A6EC-F945E41037B8}">
    <text>Holding Flat at Zero</text>
  </threadedComment>
  <threadedComment ref="H123" dT="2026-04-27T06:44:09.03" personId="{C44259D0-522D-4E8B-A167-570A2D87A088}" id="{8E6376C5-2961-4711-B206-F04555A70644}">
    <text>Using 5 Year Average</text>
  </threadedComment>
  <threadedComment ref="H124" dT="2026-04-27T06:44:30.47" personId="{C44259D0-522D-4E8B-A167-570A2D87A088}" id="{D4DAA8F8-ADD5-4E4C-9817-F0478F5E63A3}">
    <text>Using 5 Year Average</text>
  </threadedComment>
  <threadedComment ref="H125" dT="2026-04-27T06:45:33.14" personId="{C44259D0-522D-4E8B-A167-570A2D87A088}" id="{4700DE3E-E3F0-42B6-B9F2-C0D6D39111C3}">
    <text>Using 3 Year Average</text>
  </threadedComment>
  <threadedComment ref="H126" dT="2026-04-27T06:43:43.62" personId="{C44259D0-522D-4E8B-A167-570A2D87A088}" id="{76663011-AFEF-4E06-A983-640D69F7354B}">
    <text>Holding Flat at Zero</text>
  </threadedComment>
  <threadedComment ref="H127" dT="2026-04-27T06:43:43.62" personId="{C44259D0-522D-4E8B-A167-570A2D87A088}" id="{E9384446-E2E6-4EAA-912C-AA254CC96811}">
    <text>Holding Flat at Zero</text>
  </threadedComment>
  <threadedComment ref="H128" dT="2026-04-27T06:46:21.52" personId="{C44259D0-522D-4E8B-A167-570A2D87A088}" id="{B61385CD-4D45-43DD-A9B8-1F9A74DDBE7A}">
    <text>Using 5 Year Average</text>
  </threadedComment>
  <threadedComment ref="H130" dT="2026-04-27T06:47:38.84" personId="{C44259D0-522D-4E8B-A167-570A2D87A088}" id="{2688BE2C-FA58-404B-A32E-6069952950F1}">
    <text>Holding flat due to volatile nature</text>
  </threadedComment>
  <threadedComment ref="H131" dT="2026-04-27T06:47:54.99" personId="{C44259D0-522D-4E8B-A167-570A2D87A088}" id="{7E2FEC11-F235-4343-9ED2-AC7B15839631}">
    <text xml:space="preserve">Holding flat due to volatile nature
</text>
  </threadedComment>
  <threadedComment ref="H132" dT="2026-04-27T06:43:43.62" personId="{C44259D0-522D-4E8B-A167-570A2D87A088}" id="{5C64ACA4-E29F-463F-B779-E9272719307F}">
    <text>Holding Flat at Zero, one off in 2024</text>
  </threadedComment>
  <threadedComment ref="H133" dT="2026-04-27T06:43:43.62" personId="{C44259D0-522D-4E8B-A167-570A2D87A088}" id="{9A9E8B3D-B775-48CF-9620-F2C10C0EC303}">
    <text>Holding Flat at Zero, one off in 2024</text>
  </threadedComment>
  <threadedComment ref="H134" dT="2026-04-27T06:48:52.00" personId="{C44259D0-522D-4E8B-A167-570A2D87A088}" id="{68D538B7-3B2D-4332-865D-5AD5BC490526}">
    <text>Holding Flat at Zero</text>
  </threadedComment>
  <threadedComment ref="H135" dT="2026-04-27T06:49:14.55" personId="{C44259D0-522D-4E8B-A167-570A2D87A088}" id="{84FA0DD2-4274-4155-A7D5-B607DD46069A}">
    <text>Using 5 Year Average</text>
  </threadedComment>
  <threadedComment ref="H137" dT="2026-04-27T06:47:38.84" personId="{C44259D0-522D-4E8B-A167-570A2D87A088}" id="{0CF63F11-B143-4E7B-A7B4-DCEEDCB5A0BF}">
    <text>Holding flat due to volatile nature</text>
  </threadedComment>
  <threadedComment ref="H139" dT="2026-04-27T06:53:05.01" personId="{C44259D0-522D-4E8B-A167-570A2D87A088}" id="{6D078522-323F-412D-9378-145142E98D7D}">
    <text>Using 5 Year Average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93F3-07B6-4D14-B60E-5605CD0CD4D1}">
  <dimension ref="B1:H11"/>
  <sheetViews>
    <sheetView showGridLines="0" workbookViewId="0">
      <selection activeCell="Q14" sqref="Q14"/>
    </sheetView>
  </sheetViews>
  <sheetFormatPr defaultRowHeight="15" x14ac:dyDescent="0.25"/>
  <cols>
    <col min="1" max="1" width="9.140625" customWidth="1"/>
    <col min="4" max="4" width="9.140625" customWidth="1"/>
  </cols>
  <sheetData>
    <row r="1" spans="2:8" s="55" customFormat="1" x14ac:dyDescent="0.25"/>
    <row r="2" spans="2:8" s="55" customFormat="1" x14ac:dyDescent="0.25"/>
    <row r="3" spans="2:8" s="53" customFormat="1" ht="15" customHeight="1" x14ac:dyDescent="0.25">
      <c r="B3" s="118" t="s">
        <v>126</v>
      </c>
      <c r="C3" s="118"/>
      <c r="D3" s="118"/>
      <c r="E3" s="118"/>
      <c r="F3" s="118"/>
      <c r="G3" s="118"/>
      <c r="H3" s="118"/>
    </row>
    <row r="4" spans="2:8" s="53" customFormat="1" ht="15" customHeight="1" x14ac:dyDescent="0.25">
      <c r="B4" s="118"/>
      <c r="C4" s="118"/>
      <c r="D4" s="118"/>
      <c r="E4" s="118"/>
      <c r="F4" s="118"/>
      <c r="G4" s="118"/>
      <c r="H4" s="118"/>
    </row>
    <row r="5" spans="2:8" s="53" customFormat="1" ht="15" customHeight="1" x14ac:dyDescent="0.25">
      <c r="B5" s="118"/>
      <c r="C5" s="118"/>
      <c r="D5" s="118"/>
      <c r="E5" s="118"/>
      <c r="F5" s="118"/>
      <c r="G5" s="118"/>
      <c r="H5" s="118"/>
    </row>
    <row r="6" spans="2:8" s="53" customFormat="1" ht="15" customHeight="1" x14ac:dyDescent="0.25">
      <c r="B6" s="118"/>
      <c r="C6" s="118"/>
      <c r="D6" s="118"/>
      <c r="E6" s="118"/>
      <c r="F6" s="118"/>
      <c r="G6" s="118"/>
      <c r="H6" s="118"/>
    </row>
    <row r="7" spans="2:8" s="53" customFormat="1" x14ac:dyDescent="0.25">
      <c r="B7" s="117" t="s">
        <v>127</v>
      </c>
      <c r="C7" s="117"/>
      <c r="D7" s="117"/>
      <c r="E7" s="117"/>
      <c r="F7" s="117"/>
      <c r="G7" s="117"/>
      <c r="H7" s="117"/>
    </row>
    <row r="8" spans="2:8" s="53" customFormat="1" x14ac:dyDescent="0.25">
      <c r="B8" s="54"/>
      <c r="C8" s="54"/>
      <c r="D8" s="54"/>
      <c r="E8" s="54"/>
      <c r="F8" s="54"/>
      <c r="G8" s="54"/>
      <c r="H8" s="54"/>
    </row>
    <row r="10" spans="2:8" x14ac:dyDescent="0.25">
      <c r="B10" s="114" t="s">
        <v>128</v>
      </c>
      <c r="C10" s="114"/>
      <c r="D10" s="114" t="s">
        <v>129</v>
      </c>
      <c r="E10" s="114"/>
    </row>
    <row r="11" spans="2:8" x14ac:dyDescent="0.25">
      <c r="B11" s="114" t="s">
        <v>130</v>
      </c>
      <c r="C11" s="114"/>
      <c r="D11" s="115">
        <f ca="1">TODAY()</f>
        <v>46139</v>
      </c>
      <c r="E11" s="116"/>
    </row>
  </sheetData>
  <mergeCells count="6">
    <mergeCell ref="B11:C11"/>
    <mergeCell ref="D11:E11"/>
    <mergeCell ref="B7:H7"/>
    <mergeCell ref="B3:H6"/>
    <mergeCell ref="B10:C10"/>
    <mergeCell ref="D10:E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12991-E7C1-464F-8C4C-AEB74938335E}">
  <dimension ref="B2:L145"/>
  <sheetViews>
    <sheetView showGridLines="0" tabSelected="1" zoomScale="85" zoomScaleNormal="85" workbookViewId="0">
      <selection activeCell="J22" sqref="J22"/>
    </sheetView>
  </sheetViews>
  <sheetFormatPr defaultRowHeight="15" x14ac:dyDescent="0.25"/>
  <cols>
    <col min="2" max="2" width="55.85546875" bestFit="1" customWidth="1"/>
    <col min="3" max="12" width="17.140625" customWidth="1"/>
    <col min="13" max="14" width="14.28515625" customWidth="1"/>
  </cols>
  <sheetData>
    <row r="2" spans="2:12" ht="15.75" x14ac:dyDescent="0.3">
      <c r="B2" s="78" t="s">
        <v>90</v>
      </c>
      <c r="C2" s="79">
        <v>2021</v>
      </c>
      <c r="D2" s="79">
        <f>+C2+1</f>
        <v>2022</v>
      </c>
      <c r="E2" s="79">
        <f>+D2+1</f>
        <v>2023</v>
      </c>
      <c r="F2" s="79">
        <f>+E2+1</f>
        <v>2024</v>
      </c>
      <c r="G2" s="80">
        <f>+F2+1</f>
        <v>2025</v>
      </c>
      <c r="H2" s="80">
        <f t="shared" ref="H2:L2" si="0">+G2+1</f>
        <v>2026</v>
      </c>
      <c r="I2" s="80">
        <f t="shared" si="0"/>
        <v>2027</v>
      </c>
      <c r="J2" s="80">
        <f t="shared" si="0"/>
        <v>2028</v>
      </c>
      <c r="K2" s="80">
        <f t="shared" si="0"/>
        <v>2029</v>
      </c>
      <c r="L2" s="80">
        <f t="shared" si="0"/>
        <v>2030</v>
      </c>
    </row>
    <row r="3" spans="2:12" ht="15.75" x14ac:dyDescent="0.3">
      <c r="B3" s="81" t="s">
        <v>91</v>
      </c>
      <c r="C3" s="22"/>
      <c r="D3" s="22"/>
      <c r="E3" s="22"/>
      <c r="F3" s="22"/>
      <c r="G3" s="23"/>
      <c r="L3" s="82"/>
    </row>
    <row r="4" spans="2:12" ht="15.75" x14ac:dyDescent="0.3">
      <c r="B4" s="83" t="s">
        <v>92</v>
      </c>
      <c r="C4" s="42">
        <v>0</v>
      </c>
      <c r="D4" s="43">
        <f>D31/C31 - 1</f>
        <v>6.9389589956009301E-2</v>
      </c>
      <c r="E4" s="43">
        <f t="shared" ref="E4:G4" si="1">E31/D31 - 1</f>
        <v>0.16793778525102088</v>
      </c>
      <c r="F4" s="43">
        <f t="shared" si="1"/>
        <v>-0.14495976553461709</v>
      </c>
      <c r="G4" s="43">
        <f t="shared" si="1"/>
        <v>0.34496444517942781</v>
      </c>
      <c r="H4" s="58">
        <f>RATE(4,0,-C$31,G$31)</f>
        <v>9.4745715087468374E-2</v>
      </c>
      <c r="I4" s="57">
        <f t="shared" ref="I4:L4" si="2">RATE(4,0,-D$31,H$31)</f>
        <v>0.10117813507092933</v>
      </c>
      <c r="J4" s="57">
        <f t="shared" si="2"/>
        <v>8.5093213045376759E-2</v>
      </c>
      <c r="K4" s="57">
        <f t="shared" si="2"/>
        <v>0.15169417708959537</v>
      </c>
      <c r="L4" s="84">
        <f t="shared" si="2"/>
        <v>0.1078826544922996</v>
      </c>
    </row>
    <row r="5" spans="2:12" ht="15.75" x14ac:dyDescent="0.3">
      <c r="B5" s="81" t="s">
        <v>93</v>
      </c>
      <c r="C5" s="17"/>
      <c r="D5" s="17"/>
      <c r="E5" s="17"/>
      <c r="F5" s="17"/>
      <c r="G5" s="17"/>
      <c r="H5" s="56"/>
      <c r="I5" s="43"/>
      <c r="J5" s="43"/>
      <c r="K5" s="43"/>
      <c r="L5" s="85"/>
    </row>
    <row r="6" spans="2:12" ht="15.75" x14ac:dyDescent="0.3">
      <c r="B6" s="86" t="s">
        <v>94</v>
      </c>
      <c r="C6" s="43">
        <f>C33/C31</f>
        <v>4.8951610313714158E-2</v>
      </c>
      <c r="D6" s="43">
        <f t="shared" ref="D6:F6" si="3">D33/D31</f>
        <v>5.2996637040595727E-2</v>
      </c>
      <c r="E6" s="43">
        <f t="shared" si="3"/>
        <v>9.9287862817183839E-2</v>
      </c>
      <c r="F6" s="43">
        <f t="shared" si="3"/>
        <v>-2.9932197784025137E-2</v>
      </c>
      <c r="G6" s="43">
        <f>G33/G31</f>
        <v>4.7941607144853182E-2</v>
      </c>
      <c r="H6" s="58">
        <f>H33/H31</f>
        <v>4.7941607144853196E-2</v>
      </c>
      <c r="I6" s="57">
        <f t="shared" ref="I6:L6" si="4">I33/I31</f>
        <v>4.7941607144853238E-2</v>
      </c>
      <c r="J6" s="57">
        <f t="shared" si="4"/>
        <v>4.7941607144853161E-2</v>
      </c>
      <c r="K6" s="57">
        <f t="shared" si="4"/>
        <v>4.7941607144853168E-2</v>
      </c>
      <c r="L6" s="84">
        <f t="shared" si="4"/>
        <v>4.7941607144853189E-2</v>
      </c>
    </row>
    <row r="7" spans="2:12" ht="15.75" x14ac:dyDescent="0.3">
      <c r="B7" s="86" t="s">
        <v>95</v>
      </c>
      <c r="C7" s="43">
        <f>C32/C31</f>
        <v>0.9510483896862858</v>
      </c>
      <c r="D7" s="43">
        <f t="shared" ref="D7:L7" si="5">D32/D31</f>
        <v>0.94700336295940424</v>
      </c>
      <c r="E7" s="43">
        <f t="shared" si="5"/>
        <v>0.90071213718281617</v>
      </c>
      <c r="F7" s="43">
        <f t="shared" si="5"/>
        <v>1.0299321977840252</v>
      </c>
      <c r="G7" s="43">
        <f t="shared" si="5"/>
        <v>0.95205839285514682</v>
      </c>
      <c r="H7" s="56">
        <f>H32/H31</f>
        <v>0.95205839285514682</v>
      </c>
      <c r="I7" s="43">
        <f t="shared" si="5"/>
        <v>0.95205839285514682</v>
      </c>
      <c r="J7" s="43">
        <f t="shared" si="5"/>
        <v>0.95205839285514682</v>
      </c>
      <c r="K7" s="43">
        <f t="shared" si="5"/>
        <v>0.95205839285514682</v>
      </c>
      <c r="L7" s="85">
        <f t="shared" si="5"/>
        <v>0.95205839285514682</v>
      </c>
    </row>
    <row r="8" spans="2:12" ht="15.75" x14ac:dyDescent="0.3">
      <c r="B8" s="86" t="s">
        <v>97</v>
      </c>
      <c r="C8" s="43">
        <f>C35/C31</f>
        <v>6.67405195389012E-2</v>
      </c>
      <c r="D8" s="43">
        <f t="shared" ref="D8:L8" si="6">D35/D31</f>
        <v>6.2860317079029546E-2</v>
      </c>
      <c r="E8" s="43">
        <f t="shared" si="6"/>
        <v>6.6431858498084681E-2</v>
      </c>
      <c r="F8" s="43">
        <f t="shared" si="6"/>
        <v>7.5484462618578704E-2</v>
      </c>
      <c r="G8" s="43">
        <f t="shared" si="6"/>
        <v>6.8072834579658625E-2</v>
      </c>
      <c r="H8" s="56">
        <f t="shared" si="6"/>
        <v>6.8072834579658625E-2</v>
      </c>
      <c r="I8" s="43">
        <f t="shared" si="6"/>
        <v>6.8072834579658625E-2</v>
      </c>
      <c r="J8" s="43">
        <f t="shared" si="6"/>
        <v>6.8072834579658625E-2</v>
      </c>
      <c r="K8" s="43">
        <f t="shared" si="6"/>
        <v>6.8072834579658625E-2</v>
      </c>
      <c r="L8" s="85">
        <f t="shared" si="6"/>
        <v>6.8072834579658625E-2</v>
      </c>
    </row>
    <row r="9" spans="2:12" ht="15.75" x14ac:dyDescent="0.3">
      <c r="B9" s="86" t="s">
        <v>96</v>
      </c>
      <c r="C9" s="43">
        <f>C36/C31</f>
        <v>3.6107632533795717E-2</v>
      </c>
      <c r="D9" s="43">
        <f t="shared" ref="D9:L9" si="7">D36/D31</f>
        <v>4.2817679558011051E-2</v>
      </c>
      <c r="E9" s="43">
        <f t="shared" si="7"/>
        <v>4.3409517443504637E-2</v>
      </c>
      <c r="F9" s="43">
        <f t="shared" si="7"/>
        <v>5.730865793706872E-2</v>
      </c>
      <c r="G9" s="43">
        <f t="shared" si="7"/>
        <v>4.0407766339156971E-2</v>
      </c>
      <c r="H9" s="56">
        <f t="shared" si="7"/>
        <v>4.0407766339156971E-2</v>
      </c>
      <c r="I9" s="43">
        <f t="shared" si="7"/>
        <v>4.0407766339156971E-2</v>
      </c>
      <c r="J9" s="43">
        <f t="shared" si="7"/>
        <v>4.0407766339156971E-2</v>
      </c>
      <c r="K9" s="43">
        <f t="shared" si="7"/>
        <v>4.0407766339156971E-2</v>
      </c>
      <c r="L9" s="85">
        <f t="shared" si="7"/>
        <v>4.0407766339156971E-2</v>
      </c>
    </row>
    <row r="10" spans="2:12" ht="15.75" x14ac:dyDescent="0.3">
      <c r="B10" s="86" t="s">
        <v>98</v>
      </c>
      <c r="C10" s="43">
        <f>C38/C31</f>
        <v>-5.3896541758982758E-2</v>
      </c>
      <c r="D10" s="43">
        <f t="shared" ref="D10:L10" si="8">D38/D31</f>
        <v>-5.268135959644487E-2</v>
      </c>
      <c r="E10" s="43">
        <f t="shared" si="8"/>
        <v>-1.0553513124405481E-2</v>
      </c>
      <c r="F10" s="43">
        <f t="shared" si="8"/>
        <v>-0.16272531833967258</v>
      </c>
      <c r="G10" s="43">
        <f t="shared" si="8"/>
        <v>-6.0538993773962421E-2</v>
      </c>
      <c r="H10" s="56">
        <f t="shared" si="8"/>
        <v>-6.0538993773962407E-2</v>
      </c>
      <c r="I10" s="43">
        <f t="shared" si="8"/>
        <v>-6.0538993773962359E-2</v>
      </c>
      <c r="J10" s="43">
        <f t="shared" si="8"/>
        <v>-6.0538993773962442E-2</v>
      </c>
      <c r="K10" s="43">
        <f t="shared" si="8"/>
        <v>-6.0538993773962421E-2</v>
      </c>
      <c r="L10" s="85">
        <f t="shared" si="8"/>
        <v>-6.0538993773962407E-2</v>
      </c>
    </row>
    <row r="11" spans="2:12" ht="15.75" x14ac:dyDescent="0.3">
      <c r="B11" s="86" t="s">
        <v>99</v>
      </c>
      <c r="C11" s="43">
        <f t="shared" ref="C11:H11" si="9">C45/C31</f>
        <v>-6.8875830844812636E-2</v>
      </c>
      <c r="D11" s="43">
        <f t="shared" si="9"/>
        <v>-7.5861758347345667E-2</v>
      </c>
      <c r="E11" s="43">
        <f t="shared" si="9"/>
        <v>-2.8819703319022033E-2</v>
      </c>
      <c r="F11" s="43">
        <f t="shared" si="9"/>
        <v>-0.17783423786400468</v>
      </c>
      <c r="G11" s="43">
        <f t="shared" si="9"/>
        <v>2.5015928372623321E-2</v>
      </c>
      <c r="H11" s="56">
        <f t="shared" si="9"/>
        <v>-5.9481594784354316E-2</v>
      </c>
      <c r="I11" s="43">
        <f t="shared" ref="I11:L11" si="10">I45/I31</f>
        <v>-5.883748592014601E-2</v>
      </c>
      <c r="J11" s="43">
        <f t="shared" si="10"/>
        <v>-5.8107712228253582E-2</v>
      </c>
      <c r="K11" s="43">
        <f t="shared" si="10"/>
        <v>-5.6562158148381017E-2</v>
      </c>
      <c r="L11" s="85">
        <f t="shared" si="10"/>
        <v>-5.5791594753644237E-2</v>
      </c>
    </row>
    <row r="12" spans="2:12" ht="15.75" x14ac:dyDescent="0.3">
      <c r="B12" s="81" t="s">
        <v>100</v>
      </c>
      <c r="C12" s="44"/>
      <c r="D12" s="44"/>
      <c r="E12" s="44"/>
      <c r="F12" s="44"/>
      <c r="G12" s="44"/>
      <c r="H12" s="56"/>
      <c r="I12" s="43"/>
      <c r="J12" s="43"/>
      <c r="K12" s="43"/>
      <c r="L12" s="85"/>
    </row>
    <row r="13" spans="2:12" ht="15.75" x14ac:dyDescent="0.3">
      <c r="B13" s="86" t="s">
        <v>101</v>
      </c>
      <c r="C13" s="42">
        <v>0</v>
      </c>
      <c r="D13" s="42">
        <v>0</v>
      </c>
      <c r="E13" s="42">
        <v>0</v>
      </c>
      <c r="F13" s="42">
        <v>0</v>
      </c>
      <c r="G13" s="57">
        <f>G44/G43</f>
        <v>0.15066413662239089</v>
      </c>
      <c r="H13" s="77">
        <v>0.21</v>
      </c>
      <c r="I13" s="76">
        <v>0.21</v>
      </c>
      <c r="J13" s="76">
        <v>0.21</v>
      </c>
      <c r="K13" s="76">
        <v>0.21</v>
      </c>
      <c r="L13" s="87">
        <v>0.21</v>
      </c>
    </row>
    <row r="14" spans="2:12" ht="15.75" x14ac:dyDescent="0.3">
      <c r="B14" s="81" t="s">
        <v>56</v>
      </c>
      <c r="C14" s="44"/>
      <c r="D14" s="44"/>
      <c r="E14" s="44"/>
      <c r="F14" s="44"/>
      <c r="G14" s="44"/>
      <c r="H14" s="56"/>
      <c r="I14" s="43"/>
      <c r="J14" s="43"/>
      <c r="K14" s="43"/>
      <c r="L14" s="85"/>
    </row>
    <row r="15" spans="2:12" ht="15.75" x14ac:dyDescent="0.3">
      <c r="B15" s="86" t="s">
        <v>102</v>
      </c>
      <c r="C15" s="43">
        <f>C119/C31</f>
        <v>-1.5733872780400091E-2</v>
      </c>
      <c r="D15" s="43">
        <f t="shared" ref="D15:G15" si="11">D119/D31</f>
        <v>-1.8346144607254384E-2</v>
      </c>
      <c r="E15" s="43">
        <f t="shared" si="11"/>
        <v>-1.9628763143687174E-2</v>
      </c>
      <c r="F15" s="43">
        <f t="shared" si="11"/>
        <v>-3.3525264218169794E-2</v>
      </c>
      <c r="G15" s="43">
        <f t="shared" si="11"/>
        <v>-3.2885103338810458E-2</v>
      </c>
      <c r="H15" s="58">
        <f>H119/H31</f>
        <v>-1.8176576358594709E-2</v>
      </c>
      <c r="I15" s="57">
        <f t="shared" ref="I15:L15" si="12">I119/I31</f>
        <v>-1.7990414217736513E-2</v>
      </c>
      <c r="J15" s="57">
        <f t="shared" si="12"/>
        <v>-1.7807093364195063E-2</v>
      </c>
      <c r="K15" s="57">
        <f t="shared" si="12"/>
        <v>-1.6288030087898663E-2</v>
      </c>
      <c r="L15" s="84">
        <f t="shared" si="12"/>
        <v>-1.4655421161012965E-2</v>
      </c>
    </row>
    <row r="16" spans="2:12" ht="15.75" x14ac:dyDescent="0.3">
      <c r="B16" s="86" t="s">
        <v>103</v>
      </c>
      <c r="C16" s="43">
        <f>C119/C65</f>
        <v>-8.9760029309397332E-2</v>
      </c>
      <c r="D16" s="43">
        <f t="shared" ref="D16:G16" si="13">D119/D65</f>
        <v>-0.11582938388625592</v>
      </c>
      <c r="E16" s="43">
        <f t="shared" si="13"/>
        <v>-0.14323234218178407</v>
      </c>
      <c r="F16" s="43">
        <f t="shared" si="13"/>
        <v>-0.19540834209603924</v>
      </c>
      <c r="G16" s="43">
        <f t="shared" si="13"/>
        <v>-0.19152398932361175</v>
      </c>
      <c r="H16" s="56">
        <f>H119/H65</f>
        <v>-0.12072063834486223</v>
      </c>
      <c r="I16" s="43">
        <f t="shared" ref="I16:L16" si="14">I119/I65</f>
        <v>-0.13828631213180831</v>
      </c>
      <c r="J16" s="43">
        <f t="shared" si="14"/>
        <v>-0.1561151209427987</v>
      </c>
      <c r="K16" s="43">
        <f t="shared" si="14"/>
        <v>-0.17881355094237672</v>
      </c>
      <c r="L16" s="85">
        <f t="shared" si="14"/>
        <v>-0.20156781523882997</v>
      </c>
    </row>
    <row r="17" spans="2:12" ht="15.75" x14ac:dyDescent="0.3">
      <c r="B17" s="86" t="s">
        <v>104</v>
      </c>
      <c r="C17" s="43">
        <f>C99/C31</f>
        <v>3.4421860450181418E-2</v>
      </c>
      <c r="D17" s="43">
        <f t="shared" ref="D17:G17" si="15">D99/D31</f>
        <v>2.9711145808311315E-2</v>
      </c>
      <c r="E17" s="43">
        <f t="shared" si="15"/>
        <v>2.3922153379438003E-2</v>
      </c>
      <c r="F17" s="43">
        <f t="shared" si="15"/>
        <v>2.7601966414600779E-2</v>
      </c>
      <c r="G17" s="43">
        <f t="shared" si="15"/>
        <v>2.1830253847959492E-2</v>
      </c>
      <c r="H17" s="56">
        <f>AVERAGE(E17:G17)</f>
        <v>2.4451457880666091E-2</v>
      </c>
      <c r="I17" s="43">
        <f t="shared" ref="I17:L17" si="16">AVERAGE(F17:H17)</f>
        <v>2.4627892714408784E-2</v>
      </c>
      <c r="J17" s="43">
        <f t="shared" si="16"/>
        <v>2.3636534814344787E-2</v>
      </c>
      <c r="K17" s="43">
        <f t="shared" si="16"/>
        <v>2.4238628469806553E-2</v>
      </c>
      <c r="L17" s="85">
        <f t="shared" si="16"/>
        <v>2.4167685332853375E-2</v>
      </c>
    </row>
    <row r="18" spans="2:12" ht="17.25" x14ac:dyDescent="0.4">
      <c r="B18" s="81" t="s">
        <v>105</v>
      </c>
      <c r="C18" s="45"/>
      <c r="D18" s="45"/>
      <c r="E18" s="45"/>
      <c r="F18" s="45"/>
      <c r="G18" s="45"/>
      <c r="H18" s="56"/>
      <c r="I18" s="43"/>
      <c r="J18" s="43"/>
      <c r="K18" s="43"/>
      <c r="L18" s="85"/>
    </row>
    <row r="19" spans="2:12" ht="15.75" x14ac:dyDescent="0.3">
      <c r="B19" s="88" t="s">
        <v>132</v>
      </c>
      <c r="C19" s="59">
        <f>C58/C31 * 365</f>
        <v>15.476431300773848</v>
      </c>
      <c r="D19" s="59">
        <f t="shared" ref="D19:G19" si="17">D58/D31 * 365</f>
        <v>13.792712587076627</v>
      </c>
      <c r="E19" s="59">
        <f t="shared" si="17"/>
        <v>12.428786281718386</v>
      </c>
      <c r="F19" s="59">
        <f t="shared" si="17"/>
        <v>14.437136371153239</v>
      </c>
      <c r="G19" s="59">
        <f t="shared" si="17"/>
        <v>11.917384840660384</v>
      </c>
      <c r="H19" s="62">
        <f>AVERAGE(C19:G19)</f>
        <v>13.610490276276497</v>
      </c>
      <c r="I19" s="60">
        <f t="shared" ref="I19:L19" si="18">AVERAGE(D19:H19)</f>
        <v>13.237302071377027</v>
      </c>
      <c r="J19" s="60">
        <f t="shared" si="18"/>
        <v>13.126219968237105</v>
      </c>
      <c r="K19" s="60">
        <f t="shared" si="18"/>
        <v>13.26570670554085</v>
      </c>
      <c r="L19" s="89">
        <f t="shared" si="18"/>
        <v>13.031420772418375</v>
      </c>
    </row>
    <row r="20" spans="2:12" ht="15.75" x14ac:dyDescent="0.3">
      <c r="B20" s="88" t="s">
        <v>133</v>
      </c>
      <c r="C20" s="59">
        <f>C61/C32 *365</f>
        <v>485.68285024562351</v>
      </c>
      <c r="D20" s="59">
        <f t="shared" ref="D20:F20" si="19">D61/D32 *365</f>
        <v>452.21971210247631</v>
      </c>
      <c r="E20" s="59">
        <f t="shared" si="19"/>
        <v>415.37698016269445</v>
      </c>
      <c r="F20" s="59">
        <f t="shared" si="19"/>
        <v>466.45282302796755</v>
      </c>
      <c r="G20" s="59">
        <f>G61/G32 *365</f>
        <v>362.87875407988355</v>
      </c>
      <c r="H20" s="61">
        <f>AVERAGE(E20:G20)</f>
        <v>414.90285242351518</v>
      </c>
      <c r="I20" s="59">
        <f t="shared" ref="I20:L20" si="20">AVERAGE(F20:H20)</f>
        <v>414.74480984378874</v>
      </c>
      <c r="J20" s="59">
        <f t="shared" si="20"/>
        <v>397.50880544906249</v>
      </c>
      <c r="K20" s="59">
        <f t="shared" si="20"/>
        <v>409.05215590545549</v>
      </c>
      <c r="L20" s="90">
        <f t="shared" si="20"/>
        <v>407.10192373276891</v>
      </c>
    </row>
    <row r="21" spans="2:12" ht="15.75" x14ac:dyDescent="0.3">
      <c r="B21" s="88" t="s">
        <v>134</v>
      </c>
      <c r="C21" s="59">
        <f>C72/C32 *365</f>
        <v>57.063406316997828</v>
      </c>
      <c r="D21" s="59">
        <f t="shared" ref="D21:G21" si="21">D72/D32 *365</f>
        <v>59.022163036240848</v>
      </c>
      <c r="E21" s="59">
        <f t="shared" si="21"/>
        <v>62.321392892821464</v>
      </c>
      <c r="F21" s="59">
        <f t="shared" si="21"/>
        <v>60.545629707479421</v>
      </c>
      <c r="G21" s="59">
        <f t="shared" si="21"/>
        <v>56.176591448094491</v>
      </c>
      <c r="H21" s="61">
        <f t="shared" ref="H21:L21" si="22">AVERAGE(C21:G21)</f>
        <v>59.025836680326805</v>
      </c>
      <c r="I21" s="59">
        <f t="shared" si="22"/>
        <v>59.418322752992609</v>
      </c>
      <c r="J21" s="59">
        <f t="shared" si="22"/>
        <v>59.497554696342959</v>
      </c>
      <c r="K21" s="59">
        <f t="shared" si="22"/>
        <v>58.932787057047257</v>
      </c>
      <c r="L21" s="90">
        <f t="shared" si="22"/>
        <v>58.610218526960828</v>
      </c>
    </row>
    <row r="22" spans="2:12" ht="15.75" x14ac:dyDescent="0.3">
      <c r="B22" s="88" t="s">
        <v>122</v>
      </c>
      <c r="C22" s="43">
        <f>C74/C31</f>
        <v>0.85059242847509875</v>
      </c>
      <c r="D22" s="43">
        <f t="shared" ref="D22:G22" si="23">D74/D31</f>
        <v>0.79691628633197209</v>
      </c>
      <c r="E22" s="43">
        <f t="shared" si="23"/>
        <v>0.72406612335141529</v>
      </c>
      <c r="F22" s="43">
        <f t="shared" si="23"/>
        <v>0.90703128523535337</v>
      </c>
      <c r="G22" s="43">
        <f t="shared" si="23"/>
        <v>0.66400634899343858</v>
      </c>
      <c r="H22" s="56">
        <f>H108/H31</f>
        <v>5.7467003972676803E-2</v>
      </c>
      <c r="I22" s="43">
        <f t="shared" ref="I22:L22" si="24">I108/I31</f>
        <v>6.101004181497427E-2</v>
      </c>
      <c r="J22" s="43">
        <f t="shared" si="24"/>
        <v>5.2071502281176504E-2</v>
      </c>
      <c r="K22" s="43">
        <f t="shared" si="24"/>
        <v>8.7458892036223645E-2</v>
      </c>
      <c r="L22" s="85">
        <f t="shared" si="24"/>
        <v>6.465916515497741E-2</v>
      </c>
    </row>
    <row r="23" spans="2:12" ht="15.75" x14ac:dyDescent="0.3">
      <c r="B23" s="81" t="s">
        <v>106</v>
      </c>
      <c r="C23" s="43"/>
      <c r="D23" s="43"/>
      <c r="E23" s="43"/>
      <c r="F23" s="43"/>
      <c r="G23" s="43"/>
      <c r="H23" s="56"/>
      <c r="I23" s="43"/>
      <c r="J23" s="43"/>
      <c r="K23" s="43"/>
      <c r="L23" s="85"/>
    </row>
    <row r="24" spans="2:12" ht="15.75" x14ac:dyDescent="0.3">
      <c r="B24" s="88" t="s">
        <v>107</v>
      </c>
      <c r="C24" s="46">
        <f>C81+C75-C56-C57</f>
        <v>41858</v>
      </c>
      <c r="D24" s="46">
        <f t="shared" ref="D24:G24" si="25">D81+D75-D56-D57</f>
        <v>39781</v>
      </c>
      <c r="E24" s="46">
        <f t="shared" si="25"/>
        <v>36342</v>
      </c>
      <c r="F24" s="46">
        <f t="shared" si="25"/>
        <v>27582</v>
      </c>
      <c r="G24" s="46">
        <f t="shared" si="25"/>
        <v>24698</v>
      </c>
      <c r="H24" s="65">
        <f>AVERAGE(E24:G24)</f>
        <v>29540.666666666668</v>
      </c>
      <c r="I24" s="46">
        <f t="shared" ref="I24:L24" si="26">AVERAGE(F24:H24)</f>
        <v>27273.555555555558</v>
      </c>
      <c r="J24" s="46">
        <f t="shared" si="26"/>
        <v>27170.740740740745</v>
      </c>
      <c r="K24" s="46">
        <f t="shared" si="26"/>
        <v>27994.987654320994</v>
      </c>
      <c r="L24" s="91">
        <f t="shared" si="26"/>
        <v>27479.761316872435</v>
      </c>
    </row>
    <row r="25" spans="2:12" ht="15.75" x14ac:dyDescent="0.3">
      <c r="B25" s="88" t="s">
        <v>108</v>
      </c>
      <c r="C25" s="47" t="str">
        <f t="shared" ref="C25:D25" si="27">IF(C24/(C38+C99)&lt;0,"nm",C24/(C38+C99))</f>
        <v>nm</v>
      </c>
      <c r="D25" s="47" t="str">
        <f t="shared" si="27"/>
        <v>nm</v>
      </c>
      <c r="E25" s="47">
        <f>IF(E24/(E38+E99)&lt;0,"nm",E24/(E38+E99))</f>
        <v>34.944230769230771</v>
      </c>
      <c r="F25" s="47" t="str">
        <f t="shared" ref="F25" si="28">IF(F24/(F38+F99)&lt;0,"nm",F24/(F38+F99))</f>
        <v>nm</v>
      </c>
      <c r="G25" s="92" t="str">
        <f t="shared" ref="G25:L25" si="29">IF(G24/(G38+G99)&lt;0,"nm",G24/(G38+G99))</f>
        <v>nm</v>
      </c>
      <c r="H25" s="47" t="str">
        <f t="shared" si="29"/>
        <v>nm</v>
      </c>
      <c r="I25" s="47" t="str">
        <f t="shared" si="29"/>
        <v>nm</v>
      </c>
      <c r="J25" s="47" t="str">
        <f t="shared" si="29"/>
        <v>nm</v>
      </c>
      <c r="K25" s="47" t="str">
        <f t="shared" si="29"/>
        <v>nm</v>
      </c>
      <c r="L25" s="92" t="str">
        <f t="shared" si="29"/>
        <v>nm</v>
      </c>
    </row>
    <row r="26" spans="2:12" ht="15.75" x14ac:dyDescent="0.3">
      <c r="B26" s="88" t="s">
        <v>109</v>
      </c>
      <c r="C26" s="47" t="str">
        <f>IF(C42/(C81+C75)&lt;0,"nm",C42/(C81+C75))</f>
        <v>nm</v>
      </c>
      <c r="D26" s="47" t="str">
        <f t="shared" ref="D26:L26" si="30">IF(D42/(D81+D75)&lt;0,"nm",D42/(D81+D75))</f>
        <v>nm</v>
      </c>
      <c r="E26" s="47" t="str">
        <f t="shared" si="30"/>
        <v>nm</v>
      </c>
      <c r="F26" s="47" t="str">
        <f t="shared" si="30"/>
        <v>nm</v>
      </c>
      <c r="G26" s="92" t="str">
        <f t="shared" si="30"/>
        <v>nm</v>
      </c>
      <c r="H26" s="47" t="str">
        <f t="shared" si="30"/>
        <v>nm</v>
      </c>
      <c r="I26" s="47" t="str">
        <f t="shared" si="30"/>
        <v>nm</v>
      </c>
      <c r="J26" s="47" t="str">
        <f t="shared" si="30"/>
        <v>nm</v>
      </c>
      <c r="K26" s="47" t="str">
        <f t="shared" si="30"/>
        <v>nm</v>
      </c>
      <c r="L26" s="92" t="str">
        <f t="shared" si="30"/>
        <v>nm</v>
      </c>
    </row>
    <row r="27" spans="2:12" ht="15.75" x14ac:dyDescent="0.3">
      <c r="B27" s="93" t="s">
        <v>110</v>
      </c>
      <c r="C27" s="52">
        <f>C42/(C75+C81)</f>
        <v>-4.6710956593576811E-2</v>
      </c>
      <c r="D27" s="52">
        <f t="shared" ref="D27:G27" si="31">D42/(D75+D81)</f>
        <v>-4.4929036332695918E-2</v>
      </c>
      <c r="E27" s="52">
        <f t="shared" si="31"/>
        <v>-4.7010916320951307E-2</v>
      </c>
      <c r="F27" s="52">
        <f t="shared" si="31"/>
        <v>-5.0590375761176296E-2</v>
      </c>
      <c r="G27" s="52">
        <f t="shared" si="31"/>
        <v>-5.1221856630559358E-2</v>
      </c>
      <c r="H27" s="63">
        <f>AVERAGE(E27:G27)</f>
        <v>-4.960771623756232E-2</v>
      </c>
      <c r="I27" s="52">
        <f t="shared" ref="I27:L27" si="32">AVERAGE(F27:H27)</f>
        <v>-5.0473316209765993E-2</v>
      </c>
      <c r="J27" s="52">
        <f t="shared" si="32"/>
        <v>-5.0434296359295888E-2</v>
      </c>
      <c r="K27" s="52">
        <f t="shared" si="32"/>
        <v>-5.0171776268874736E-2</v>
      </c>
      <c r="L27" s="94">
        <f t="shared" si="32"/>
        <v>-5.0359796279312204E-2</v>
      </c>
    </row>
    <row r="28" spans="2:12" x14ac:dyDescent="0.25">
      <c r="H28" s="19"/>
    </row>
    <row r="29" spans="2:12" x14ac:dyDescent="0.25">
      <c r="H29" s="19"/>
    </row>
    <row r="30" spans="2:12" ht="15.75" x14ac:dyDescent="0.3">
      <c r="B30" s="1" t="s">
        <v>0</v>
      </c>
      <c r="C30" s="2">
        <v>2021</v>
      </c>
      <c r="D30" s="2">
        <f>+C30+1</f>
        <v>2022</v>
      </c>
      <c r="E30" s="2">
        <f>+D30+1</f>
        <v>2023</v>
      </c>
      <c r="F30" s="2">
        <f>+E30+1</f>
        <v>2024</v>
      </c>
      <c r="G30" s="2">
        <f>+F30+1</f>
        <v>2025</v>
      </c>
      <c r="H30" s="2">
        <f t="shared" ref="H30" si="33">+G30+1</f>
        <v>2026</v>
      </c>
      <c r="I30" s="2">
        <f t="shared" ref="I30" si="34">+H30+1</f>
        <v>2027</v>
      </c>
      <c r="J30" s="2">
        <f t="shared" ref="J30" si="35">+I30+1</f>
        <v>2028</v>
      </c>
      <c r="K30" s="2">
        <f t="shared" ref="K30" si="36">+J30+1</f>
        <v>2029</v>
      </c>
      <c r="L30" s="2">
        <f t="shared" ref="L30" si="37">+K30+1</f>
        <v>2030</v>
      </c>
    </row>
    <row r="31" spans="2:12" ht="15.75" x14ac:dyDescent="0.3">
      <c r="B31" s="3" t="s">
        <v>1</v>
      </c>
      <c r="C31" s="5">
        <v>62286</v>
      </c>
      <c r="D31" s="5">
        <v>66608</v>
      </c>
      <c r="E31" s="5">
        <v>77794</v>
      </c>
      <c r="F31" s="5">
        <v>66517</v>
      </c>
      <c r="G31" s="49">
        <v>89463</v>
      </c>
      <c r="H31" s="42">
        <f>G31*(1+H4)</f>
        <v>97939.235908870192</v>
      </c>
      <c r="I31" s="42">
        <f t="shared" ref="I31:L31" si="38">H31*(1+I4)</f>
        <v>107848.54514840148</v>
      </c>
      <c r="J31" s="42">
        <f t="shared" si="38"/>
        <v>117025.72437734834</v>
      </c>
      <c r="K31" s="42">
        <f t="shared" si="38"/>
        <v>134777.84533508398</v>
      </c>
      <c r="L31" s="42">
        <f t="shared" si="38"/>
        <v>149318.03705658542</v>
      </c>
    </row>
    <row r="32" spans="2:12" ht="15.75" x14ac:dyDescent="0.3">
      <c r="B32" s="14" t="s">
        <v>2</v>
      </c>
      <c r="C32" s="5">
        <v>59237</v>
      </c>
      <c r="D32" s="5">
        <v>63078</v>
      </c>
      <c r="E32" s="5">
        <v>70070</v>
      </c>
      <c r="F32" s="5">
        <v>68508</v>
      </c>
      <c r="G32" s="95">
        <v>85174</v>
      </c>
      <c r="H32" s="66">
        <f>H31*G7</f>
        <v>93243.871536860039</v>
      </c>
      <c r="I32" s="97">
        <f t="shared" ref="I32:L32" si="39">I31*H7</f>
        <v>102678.11256575285</v>
      </c>
      <c r="J32" s="97">
        <f t="shared" si="39"/>
        <v>111415.32307340764</v>
      </c>
      <c r="K32" s="97">
        <f t="shared" si="39"/>
        <v>128316.37882219961</v>
      </c>
      <c r="L32" s="97">
        <f t="shared" si="39"/>
        <v>142159.49038437798</v>
      </c>
    </row>
    <row r="33" spans="2:12" ht="15.75" x14ac:dyDescent="0.3">
      <c r="B33" s="6" t="s">
        <v>3</v>
      </c>
      <c r="C33" s="7">
        <f>SUM(C31-C32)</f>
        <v>3049</v>
      </c>
      <c r="D33" s="7">
        <f>SUM(D31-D32)</f>
        <v>3530</v>
      </c>
      <c r="E33" s="7">
        <f>SUM(E31-E32)</f>
        <v>7724</v>
      </c>
      <c r="F33" s="7">
        <f>SUM(F31-F32)</f>
        <v>-1991</v>
      </c>
      <c r="G33" s="7">
        <f>SUM(G31-G32)</f>
        <v>4289</v>
      </c>
      <c r="H33" s="96">
        <f t="shared" ref="H33:L33" si="40">SUM(H31-H32)</f>
        <v>4695.3643720101536</v>
      </c>
      <c r="I33" s="71">
        <f t="shared" si="40"/>
        <v>5170.4325826486311</v>
      </c>
      <c r="J33" s="71">
        <f t="shared" si="40"/>
        <v>5610.4013039407</v>
      </c>
      <c r="K33" s="71">
        <f t="shared" si="40"/>
        <v>6461.4665128843772</v>
      </c>
      <c r="L33" s="71">
        <f t="shared" si="40"/>
        <v>7158.5466722074489</v>
      </c>
    </row>
    <row r="34" spans="2:12" ht="15.75" x14ac:dyDescent="0.3">
      <c r="B34" s="8" t="s">
        <v>4</v>
      </c>
      <c r="C34" s="9"/>
      <c r="D34" s="9"/>
      <c r="E34" s="9"/>
      <c r="F34" s="9"/>
      <c r="G34" s="9"/>
      <c r="H34" s="19"/>
    </row>
    <row r="35" spans="2:12" ht="15.75" x14ac:dyDescent="0.3">
      <c r="B35" s="10" t="s">
        <v>6</v>
      </c>
      <c r="C35" s="11">
        <v>4157</v>
      </c>
      <c r="D35" s="11">
        <v>4187</v>
      </c>
      <c r="E35" s="11">
        <v>5168</v>
      </c>
      <c r="F35" s="11">
        <v>5021</v>
      </c>
      <c r="G35" s="11">
        <v>6090</v>
      </c>
      <c r="H35" s="64">
        <f>H31*G8</f>
        <v>6667.0014048826824</v>
      </c>
      <c r="I35" s="42">
        <f>I31*H8</f>
        <v>7341.5561735439787</v>
      </c>
      <c r="J35" s="42">
        <f t="shared" ref="J35:L35" si="41">J31*I8</f>
        <v>7966.2727771039572</v>
      </c>
      <c r="K35" s="42">
        <f t="shared" si="41"/>
        <v>9174.7099704979864</v>
      </c>
      <c r="L35" s="42">
        <f t="shared" si="41"/>
        <v>10164.502036312277</v>
      </c>
    </row>
    <row r="36" spans="2:12" ht="15.75" x14ac:dyDescent="0.3">
      <c r="B36" s="10" t="s">
        <v>131</v>
      </c>
      <c r="C36" s="11">
        <v>2249</v>
      </c>
      <c r="D36" s="11">
        <v>2852</v>
      </c>
      <c r="E36" s="11">
        <v>3377</v>
      </c>
      <c r="F36" s="11">
        <v>3812</v>
      </c>
      <c r="G36" s="11">
        <v>3615</v>
      </c>
      <c r="H36" s="66">
        <f>H31*G9</f>
        <v>3957.5057600411988</v>
      </c>
      <c r="I36" s="97">
        <f t="shared" ref="I36:L36" si="42">I31*H9</f>
        <v>4357.918812374628</v>
      </c>
      <c r="J36" s="97">
        <f t="shared" si="42"/>
        <v>4728.7481263104773</v>
      </c>
      <c r="K36" s="97">
        <f t="shared" si="42"/>
        <v>5446.0716819951112</v>
      </c>
      <c r="L36" s="97">
        <f t="shared" si="42"/>
        <v>6033.6083516040853</v>
      </c>
    </row>
    <row r="37" spans="2:12" ht="15.75" x14ac:dyDescent="0.3">
      <c r="B37" s="6" t="s">
        <v>7</v>
      </c>
      <c r="C37" s="7">
        <f>SUM(C35:C36)</f>
        <v>6406</v>
      </c>
      <c r="D37" s="7">
        <f t="shared" ref="D37:L37" si="43">SUM(D35:D36)</f>
        <v>7039</v>
      </c>
      <c r="E37" s="7">
        <f t="shared" si="43"/>
        <v>8545</v>
      </c>
      <c r="F37" s="7">
        <f t="shared" si="43"/>
        <v>8833</v>
      </c>
      <c r="G37" s="7">
        <f t="shared" si="43"/>
        <v>9705</v>
      </c>
      <c r="H37" s="96">
        <f t="shared" si="43"/>
        <v>10624.507164923882</v>
      </c>
      <c r="I37" s="71">
        <f t="shared" si="43"/>
        <v>11699.474985918607</v>
      </c>
      <c r="J37" s="71">
        <f t="shared" si="43"/>
        <v>12695.020903414435</v>
      </c>
      <c r="K37" s="71">
        <f t="shared" si="43"/>
        <v>14620.781652493097</v>
      </c>
      <c r="L37" s="71">
        <f t="shared" si="43"/>
        <v>16198.110387916362</v>
      </c>
    </row>
    <row r="38" spans="2:12" ht="15.75" x14ac:dyDescent="0.3">
      <c r="B38" s="6" t="s">
        <v>8</v>
      </c>
      <c r="C38" s="7">
        <f t="shared" ref="C38:H38" si="44">SUM(C33-C37)</f>
        <v>-3357</v>
      </c>
      <c r="D38" s="7">
        <f t="shared" si="44"/>
        <v>-3509</v>
      </c>
      <c r="E38" s="7">
        <f t="shared" si="44"/>
        <v>-821</v>
      </c>
      <c r="F38" s="7">
        <f t="shared" si="44"/>
        <v>-10824</v>
      </c>
      <c r="G38" s="29">
        <f t="shared" si="44"/>
        <v>-5416</v>
      </c>
      <c r="H38" s="7">
        <f t="shared" si="44"/>
        <v>-5929.142792913728</v>
      </c>
      <c r="I38" s="7">
        <f t="shared" ref="I38:L38" si="45">SUM(I33-I37)</f>
        <v>-6529.0424032699757</v>
      </c>
      <c r="J38" s="7">
        <f t="shared" si="45"/>
        <v>-7084.6195994737354</v>
      </c>
      <c r="K38" s="7">
        <f t="shared" si="45"/>
        <v>-8159.3151396087196</v>
      </c>
      <c r="L38" s="7">
        <f t="shared" si="45"/>
        <v>-9039.5637157089132</v>
      </c>
    </row>
    <row r="39" spans="2:12" ht="15.75" x14ac:dyDescent="0.3">
      <c r="B39" s="4" t="s">
        <v>47</v>
      </c>
      <c r="C39" s="5">
        <v>210</v>
      </c>
      <c r="D39" s="5">
        <v>-16</v>
      </c>
      <c r="E39" s="5">
        <v>46</v>
      </c>
      <c r="F39" s="5">
        <v>71</v>
      </c>
      <c r="G39" s="5">
        <v>25</v>
      </c>
      <c r="H39" s="67">
        <f>AVERAGE(E39:G39)</f>
        <v>47.333333333333336</v>
      </c>
      <c r="I39" s="68">
        <f t="shared" ref="I39:L39" si="46">AVERAGE(F39:H39)</f>
        <v>47.777777777777779</v>
      </c>
      <c r="J39" s="68">
        <f t="shared" si="46"/>
        <v>40.037037037037038</v>
      </c>
      <c r="K39" s="68">
        <f t="shared" si="46"/>
        <v>45.049382716049386</v>
      </c>
      <c r="L39" s="68">
        <f t="shared" si="46"/>
        <v>44.288065843621403</v>
      </c>
    </row>
    <row r="40" spans="2:12" ht="15.75" x14ac:dyDescent="0.3">
      <c r="B40" s="10" t="s">
        <v>46</v>
      </c>
      <c r="C40" s="11">
        <v>277</v>
      </c>
      <c r="D40" s="11">
        <v>6</v>
      </c>
      <c r="E40" s="11">
        <v>2</v>
      </c>
      <c r="F40" s="11">
        <v>46</v>
      </c>
      <c r="G40" s="11">
        <v>9672</v>
      </c>
      <c r="H40" s="67">
        <v>0</v>
      </c>
      <c r="I40" s="68">
        <v>0</v>
      </c>
      <c r="J40" s="68">
        <v>0</v>
      </c>
      <c r="K40" s="68">
        <v>0</v>
      </c>
      <c r="L40" s="68">
        <v>0</v>
      </c>
    </row>
    <row r="41" spans="2:12" ht="15.75" x14ac:dyDescent="0.3">
      <c r="B41" s="4" t="s">
        <v>11</v>
      </c>
      <c r="C41" s="5">
        <v>551</v>
      </c>
      <c r="D41" s="5">
        <v>1058</v>
      </c>
      <c r="E41" s="5">
        <v>1227</v>
      </c>
      <c r="F41" s="5">
        <v>1222</v>
      </c>
      <c r="G41" s="5">
        <v>1125</v>
      </c>
      <c r="H41" s="67">
        <f>AVERAGE(E41:G41)</f>
        <v>1191.3333333333333</v>
      </c>
      <c r="I41" s="68">
        <f t="shared" ref="I41:L41" si="47">AVERAGE(F41:H41)</f>
        <v>1179.4444444444443</v>
      </c>
      <c r="J41" s="68">
        <f t="shared" si="47"/>
        <v>1165.2592592592591</v>
      </c>
      <c r="K41" s="68">
        <f t="shared" si="47"/>
        <v>1178.6790123456788</v>
      </c>
      <c r="L41" s="68">
        <f t="shared" si="47"/>
        <v>1174.4609053497941</v>
      </c>
    </row>
    <row r="42" spans="2:12" ht="15.75" x14ac:dyDescent="0.3">
      <c r="B42" s="4" t="s">
        <v>9</v>
      </c>
      <c r="C42" s="5">
        <f>-2714</f>
        <v>-2714</v>
      </c>
      <c r="D42" s="5">
        <v>-2561</v>
      </c>
      <c r="E42" s="5">
        <v>-2459</v>
      </c>
      <c r="F42" s="5">
        <v>-2725</v>
      </c>
      <c r="G42" s="5">
        <v>-2771</v>
      </c>
      <c r="H42" s="66">
        <f>H27*(H75+H81)</f>
        <v>-2683.6782330196465</v>
      </c>
      <c r="I42" s="97">
        <f t="shared" ref="I42:L42" si="48">I27*(I75+I81)</f>
        <v>-2730.5054603159206</v>
      </c>
      <c r="J42" s="97">
        <f t="shared" si="48"/>
        <v>-2728.3945644451887</v>
      </c>
      <c r="K42" s="97">
        <f t="shared" si="48"/>
        <v>-2714.1927525935853</v>
      </c>
      <c r="L42" s="97">
        <f t="shared" si="48"/>
        <v>-2724.3642591182315</v>
      </c>
    </row>
    <row r="43" spans="2:12" ht="15.75" x14ac:dyDescent="0.3">
      <c r="B43" s="6" t="s">
        <v>10</v>
      </c>
      <c r="C43" s="7">
        <f>SUM(C38:C42)</f>
        <v>-5033</v>
      </c>
      <c r="D43" s="7">
        <f t="shared" ref="D43:F43" si="49">SUM(D38:D42)</f>
        <v>-5022</v>
      </c>
      <c r="E43" s="7">
        <f t="shared" si="49"/>
        <v>-2005</v>
      </c>
      <c r="F43" s="7">
        <f t="shared" si="49"/>
        <v>-12210</v>
      </c>
      <c r="G43" s="7">
        <f>SUM(G38:G42)</f>
        <v>2635</v>
      </c>
      <c r="H43" s="107">
        <f>SUM(H38:H42)</f>
        <v>-7374.1543592667085</v>
      </c>
      <c r="I43" s="108">
        <f t="shared" ref="I43:L43" si="50">SUM(I38:I42)</f>
        <v>-8032.3256413636745</v>
      </c>
      <c r="J43" s="108">
        <f t="shared" si="50"/>
        <v>-8607.7178676226285</v>
      </c>
      <c r="K43" s="108">
        <f t="shared" si="50"/>
        <v>-9649.7794971405783</v>
      </c>
      <c r="L43" s="108">
        <f t="shared" si="50"/>
        <v>-10545.17900363373</v>
      </c>
    </row>
    <row r="44" spans="2:12" ht="15.75" x14ac:dyDescent="0.3">
      <c r="B44" s="4" t="s">
        <v>5</v>
      </c>
      <c r="C44" s="11">
        <v>-743</v>
      </c>
      <c r="D44" s="11">
        <v>31</v>
      </c>
      <c r="E44" s="11">
        <v>237</v>
      </c>
      <c r="F44" s="11">
        <v>-381</v>
      </c>
      <c r="G44" s="11">
        <v>397</v>
      </c>
      <c r="H44" s="67">
        <f>H43*H13</f>
        <v>-1548.5724154460088</v>
      </c>
      <c r="I44" s="68">
        <f t="shared" ref="I44:L44" si="51">I43*I13</f>
        <v>-1686.7883846863715</v>
      </c>
      <c r="J44" s="68">
        <f t="shared" si="51"/>
        <v>-1807.6207522007519</v>
      </c>
      <c r="K44" s="68">
        <f t="shared" si="51"/>
        <v>-2026.4536943995213</v>
      </c>
      <c r="L44" s="68">
        <f t="shared" si="51"/>
        <v>-2214.4875907630831</v>
      </c>
    </row>
    <row r="45" spans="2:12" ht="16.5" thickBot="1" x14ac:dyDescent="0.35">
      <c r="B45" s="12" t="s">
        <v>50</v>
      </c>
      <c r="C45" s="13">
        <f t="shared" ref="C45:L45" si="52">SUM(C43-C44)</f>
        <v>-4290</v>
      </c>
      <c r="D45" s="13">
        <f t="shared" si="52"/>
        <v>-5053</v>
      </c>
      <c r="E45" s="13">
        <f t="shared" si="52"/>
        <v>-2242</v>
      </c>
      <c r="F45" s="13">
        <f t="shared" si="52"/>
        <v>-11829</v>
      </c>
      <c r="G45" s="13">
        <f t="shared" si="52"/>
        <v>2238</v>
      </c>
      <c r="H45" s="75">
        <f t="shared" si="52"/>
        <v>-5825.5819438207</v>
      </c>
      <c r="I45" s="13">
        <f t="shared" si="52"/>
        <v>-6345.537256677303</v>
      </c>
      <c r="J45" s="13">
        <f t="shared" si="52"/>
        <v>-6800.0971154218769</v>
      </c>
      <c r="K45" s="13">
        <f t="shared" si="52"/>
        <v>-7623.3258027410575</v>
      </c>
      <c r="L45" s="13">
        <f t="shared" si="52"/>
        <v>-8330.6914128706467</v>
      </c>
    </row>
    <row r="46" spans="2:12" ht="16.5" thickTop="1" x14ac:dyDescent="0.3">
      <c r="B46" s="4" t="s">
        <v>117</v>
      </c>
      <c r="C46" s="11">
        <v>-88</v>
      </c>
      <c r="D46" s="11">
        <v>-118</v>
      </c>
      <c r="E46" s="11">
        <v>-20</v>
      </c>
      <c r="F46" s="11">
        <v>-12</v>
      </c>
      <c r="G46" s="49">
        <v>3</v>
      </c>
      <c r="H46" s="67">
        <f>AVERAGE(E46:G46)</f>
        <v>-9.6666666666666661</v>
      </c>
      <c r="I46" s="68">
        <f t="shared" ref="I46:L46" si="53">AVERAGE(F46:H46)</f>
        <v>-6.2222222222222214</v>
      </c>
      <c r="J46" s="68">
        <f t="shared" si="53"/>
        <v>-4.2962962962962958</v>
      </c>
      <c r="K46" s="68">
        <f t="shared" si="53"/>
        <v>-6.7283950617283947</v>
      </c>
      <c r="L46" s="68">
        <f t="shared" si="53"/>
        <v>-5.7489711934156373</v>
      </c>
    </row>
    <row r="47" spans="2:12" ht="15.75" x14ac:dyDescent="0.3">
      <c r="B47" s="15" t="s">
        <v>118</v>
      </c>
      <c r="C47" s="17">
        <f t="shared" ref="C47:F47" si="54">SUM(C45-C46)</f>
        <v>-4202</v>
      </c>
      <c r="D47" s="17">
        <f t="shared" si="54"/>
        <v>-4935</v>
      </c>
      <c r="E47" s="17">
        <f t="shared" si="54"/>
        <v>-2222</v>
      </c>
      <c r="F47" s="17">
        <f t="shared" si="54"/>
        <v>-11817</v>
      </c>
      <c r="G47" s="17">
        <f>SUM(G45-G46)</f>
        <v>2235</v>
      </c>
      <c r="H47" s="72">
        <f t="shared" ref="H47:L47" si="55">SUM(H45-H46)</f>
        <v>-5815.915277154033</v>
      </c>
      <c r="I47" s="17">
        <f>SUM(I45-I46)</f>
        <v>-6339.3150344550804</v>
      </c>
      <c r="J47" s="17">
        <f t="shared" si="55"/>
        <v>-6795.8008191255803</v>
      </c>
      <c r="K47" s="17">
        <f t="shared" si="55"/>
        <v>-7616.5974076793291</v>
      </c>
      <c r="L47" s="17">
        <f t="shared" si="55"/>
        <v>-8324.9424416772308</v>
      </c>
    </row>
    <row r="48" spans="2:12" ht="15.75" x14ac:dyDescent="0.3">
      <c r="B48" s="4" t="s">
        <v>119</v>
      </c>
      <c r="C48" s="11">
        <v>0</v>
      </c>
      <c r="D48" s="11">
        <v>0</v>
      </c>
      <c r="E48" s="11">
        <v>0</v>
      </c>
      <c r="F48" s="11">
        <v>58</v>
      </c>
      <c r="G48" s="49">
        <v>-345</v>
      </c>
      <c r="H48" s="18">
        <v>-345</v>
      </c>
      <c r="I48" s="18">
        <v>-173</v>
      </c>
      <c r="J48" s="18">
        <v>0</v>
      </c>
      <c r="K48" s="18">
        <v>0</v>
      </c>
      <c r="L48" s="18">
        <v>0</v>
      </c>
    </row>
    <row r="49" spans="2:12" ht="15.75" x14ac:dyDescent="0.3">
      <c r="B49" s="15" t="s">
        <v>120</v>
      </c>
      <c r="C49" s="17">
        <f t="shared" ref="C49:E49" si="56">SUM(C47-C48)</f>
        <v>-4202</v>
      </c>
      <c r="D49" s="17">
        <f t="shared" si="56"/>
        <v>-4935</v>
      </c>
      <c r="E49" s="17">
        <f t="shared" si="56"/>
        <v>-2222</v>
      </c>
      <c r="F49" s="17">
        <f>SUM(F47-F48)</f>
        <v>-11875</v>
      </c>
      <c r="G49" s="41">
        <f>SUM(G47:G48)</f>
        <v>1890</v>
      </c>
      <c r="H49" s="71">
        <f t="shared" ref="H49:L49" si="57">SUM(H47:H48)</f>
        <v>-6160.915277154033</v>
      </c>
      <c r="I49" s="71">
        <f t="shared" si="57"/>
        <v>-6512.3150344550804</v>
      </c>
      <c r="J49" s="71">
        <f t="shared" si="57"/>
        <v>-6795.8008191255803</v>
      </c>
      <c r="K49" s="71">
        <f t="shared" si="57"/>
        <v>-7616.5974076793291</v>
      </c>
      <c r="L49" s="71">
        <f t="shared" si="57"/>
        <v>-8324.9424416772308</v>
      </c>
    </row>
    <row r="50" spans="2:12" ht="15.75" x14ac:dyDescent="0.3">
      <c r="B50" s="40" t="s">
        <v>115</v>
      </c>
      <c r="C50" s="48">
        <v>587.6</v>
      </c>
      <c r="D50" s="48">
        <v>594.9</v>
      </c>
      <c r="E50" s="48">
        <v>605.79999999999995</v>
      </c>
      <c r="F50" s="48">
        <v>646.9</v>
      </c>
      <c r="G50" s="48">
        <v>759.8</v>
      </c>
      <c r="H50" s="69">
        <f>AVERAGE(E50:G50)</f>
        <v>670.83333333333326</v>
      </c>
      <c r="I50" s="70">
        <f t="shared" ref="I50:L50" si="58">AVERAGE(F50:H50)</f>
        <v>692.51111111111095</v>
      </c>
      <c r="J50" s="70">
        <f t="shared" si="58"/>
        <v>707.71481481481476</v>
      </c>
      <c r="K50" s="70">
        <f t="shared" si="58"/>
        <v>690.35308641975291</v>
      </c>
      <c r="L50" s="70">
        <f t="shared" si="58"/>
        <v>696.85967078189287</v>
      </c>
    </row>
    <row r="51" spans="2:12" ht="15.75" x14ac:dyDescent="0.3">
      <c r="B51" s="6" t="s">
        <v>111</v>
      </c>
      <c r="C51" s="50">
        <f>C49/C50</f>
        <v>-7.1511232130701154</v>
      </c>
      <c r="D51" s="50">
        <f t="shared" ref="D51:L51" si="59">D49/D50</f>
        <v>-8.2955118507312164</v>
      </c>
      <c r="E51" s="50">
        <f t="shared" si="59"/>
        <v>-3.6678771871904923</v>
      </c>
      <c r="F51" s="50">
        <f t="shared" si="59"/>
        <v>-18.356778481991036</v>
      </c>
      <c r="G51" s="50">
        <f>G49/G50</f>
        <v>2.4874967096604372</v>
      </c>
      <c r="H51" s="73">
        <f>H49/H50</f>
        <v>-9.1839730839563227</v>
      </c>
      <c r="I51" s="50">
        <f t="shared" si="59"/>
        <v>-9.4039141465994511</v>
      </c>
      <c r="J51" s="50">
        <f t="shared" si="59"/>
        <v>-9.6024566348859235</v>
      </c>
      <c r="K51" s="50">
        <f t="shared" si="59"/>
        <v>-11.032901217520214</v>
      </c>
      <c r="L51" s="50">
        <f t="shared" si="59"/>
        <v>-11.946368531179958</v>
      </c>
    </row>
    <row r="52" spans="2:12" ht="15.75" x14ac:dyDescent="0.3">
      <c r="B52" s="4" t="s">
        <v>116</v>
      </c>
      <c r="C52" s="48">
        <v>587.6</v>
      </c>
      <c r="D52" s="48">
        <v>594.9</v>
      </c>
      <c r="E52" s="48">
        <v>605.79999999999995</v>
      </c>
      <c r="F52" s="48">
        <v>646.9</v>
      </c>
      <c r="G52" s="48">
        <v>762.3</v>
      </c>
      <c r="H52" s="67">
        <f>AVERAGE(E52:G52)</f>
        <v>671.66666666666663</v>
      </c>
      <c r="I52" s="68">
        <f t="shared" ref="I52:L52" si="60">AVERAGE(F52:H52)</f>
        <v>693.62222222222215</v>
      </c>
      <c r="J52" s="68">
        <f t="shared" si="60"/>
        <v>709.19629629629628</v>
      </c>
      <c r="K52" s="68">
        <f t="shared" si="60"/>
        <v>691.49506172839494</v>
      </c>
      <c r="L52" s="68">
        <f t="shared" si="60"/>
        <v>698.10452674897113</v>
      </c>
    </row>
    <row r="53" spans="2:12" ht="15.75" x14ac:dyDescent="0.3">
      <c r="B53" s="24" t="s">
        <v>121</v>
      </c>
      <c r="C53" s="51">
        <f>C49/C52</f>
        <v>-7.1511232130701154</v>
      </c>
      <c r="D53" s="51">
        <f t="shared" ref="D53:L53" si="61">D49/D52</f>
        <v>-8.2955118507312164</v>
      </c>
      <c r="E53" s="51">
        <f t="shared" si="61"/>
        <v>-3.6678771871904923</v>
      </c>
      <c r="F53" s="51">
        <f t="shared" si="61"/>
        <v>-18.356778481991036</v>
      </c>
      <c r="G53" s="51">
        <f t="shared" si="61"/>
        <v>2.4793388429752068</v>
      </c>
      <c r="H53" s="74">
        <f t="shared" si="61"/>
        <v>-9.1725785764079895</v>
      </c>
      <c r="I53" s="51">
        <f t="shared" si="61"/>
        <v>-9.3888500480722339</v>
      </c>
      <c r="J53" s="51">
        <f t="shared" si="61"/>
        <v>-9.5823975035063516</v>
      </c>
      <c r="K53" s="51">
        <f t="shared" si="61"/>
        <v>-11.014680840441015</v>
      </c>
      <c r="L53" s="51">
        <f t="shared" si="61"/>
        <v>-11.925065835693637</v>
      </c>
    </row>
    <row r="55" spans="2:12" ht="15.75" x14ac:dyDescent="0.3">
      <c r="B55" s="1" t="s">
        <v>12</v>
      </c>
      <c r="C55" s="2">
        <v>2021</v>
      </c>
      <c r="D55" s="2">
        <f t="shared" ref="D55:E55" si="62">+C55+1</f>
        <v>2022</v>
      </c>
      <c r="E55" s="2">
        <f t="shared" si="62"/>
        <v>2023</v>
      </c>
      <c r="F55" s="2">
        <f t="shared" ref="F55" si="63">+E55+1</f>
        <v>2024</v>
      </c>
      <c r="G55" s="2">
        <f>+F55+1</f>
        <v>2025</v>
      </c>
      <c r="H55" s="2">
        <f t="shared" ref="H55:L55" si="64">+G55+1</f>
        <v>2026</v>
      </c>
      <c r="I55" s="2">
        <f t="shared" si="64"/>
        <v>2027</v>
      </c>
      <c r="J55" s="2">
        <f t="shared" si="64"/>
        <v>2028</v>
      </c>
      <c r="K55" s="2">
        <f t="shared" si="64"/>
        <v>2029</v>
      </c>
      <c r="L55" s="2">
        <f t="shared" si="64"/>
        <v>2030</v>
      </c>
    </row>
    <row r="56" spans="2:12" ht="15.75" x14ac:dyDescent="0.3">
      <c r="B56" s="14" t="s">
        <v>13</v>
      </c>
      <c r="C56" s="5">
        <v>8052</v>
      </c>
      <c r="D56" s="5">
        <v>14614</v>
      </c>
      <c r="E56" s="5">
        <v>12691</v>
      </c>
      <c r="F56" s="5">
        <v>13801</v>
      </c>
      <c r="G56" s="49">
        <v>10921</v>
      </c>
      <c r="H56" s="68">
        <f>H144</f>
        <v>-7771.6140994320704</v>
      </c>
      <c r="I56" s="68">
        <f t="shared" ref="I56:L56" si="65">I144</f>
        <v>-17843.033783791336</v>
      </c>
      <c r="J56" s="68">
        <f t="shared" si="65"/>
        <v>-24749.5122860181</v>
      </c>
      <c r="K56" s="68">
        <f t="shared" si="65"/>
        <v>-41729.38729102887</v>
      </c>
      <c r="L56" s="68">
        <f t="shared" si="65"/>
        <v>-53543.353101821362</v>
      </c>
    </row>
    <row r="57" spans="2:12" ht="15.75" x14ac:dyDescent="0.3">
      <c r="B57" s="14" t="s">
        <v>17</v>
      </c>
      <c r="C57" s="5">
        <v>8192</v>
      </c>
      <c r="D57" s="5">
        <v>2606</v>
      </c>
      <c r="E57" s="5">
        <v>3274</v>
      </c>
      <c r="F57" s="5">
        <v>12481</v>
      </c>
      <c r="G57" s="5">
        <v>18479</v>
      </c>
      <c r="H57" s="64">
        <f>G57</f>
        <v>18479</v>
      </c>
      <c r="I57" s="42">
        <f t="shared" ref="I57:L57" si="66">H57</f>
        <v>18479</v>
      </c>
      <c r="J57" s="42">
        <f t="shared" si="66"/>
        <v>18479</v>
      </c>
      <c r="K57" s="42">
        <f t="shared" si="66"/>
        <v>18479</v>
      </c>
      <c r="L57" s="42">
        <f t="shared" si="66"/>
        <v>18479</v>
      </c>
    </row>
    <row r="58" spans="2:12" ht="15.75" x14ac:dyDescent="0.3">
      <c r="B58" s="14" t="s">
        <v>52</v>
      </c>
      <c r="C58" s="5">
        <v>2641</v>
      </c>
      <c r="D58" s="5">
        <v>2517</v>
      </c>
      <c r="E58" s="5">
        <v>2649</v>
      </c>
      <c r="F58" s="5">
        <v>2631</v>
      </c>
      <c r="G58" s="5">
        <v>2921</v>
      </c>
      <c r="H58" s="64">
        <f>(H19/365)*H31</f>
        <v>3652.0575835715831</v>
      </c>
      <c r="I58" s="42">
        <f t="shared" ref="I58:L58" si="67">(I19/365)*I31</f>
        <v>3911.2980002409145</v>
      </c>
      <c r="J58" s="42">
        <f t="shared" si="67"/>
        <v>4208.5079455324976</v>
      </c>
      <c r="K58" s="42">
        <f t="shared" si="67"/>
        <v>4898.4201825204691</v>
      </c>
      <c r="L58" s="42">
        <f t="shared" si="67"/>
        <v>5331.0306021806136</v>
      </c>
    </row>
    <row r="59" spans="2:12" ht="15.75" x14ac:dyDescent="0.3">
      <c r="B59" s="16" t="s">
        <v>28</v>
      </c>
      <c r="C59" s="18">
        <v>8620</v>
      </c>
      <c r="D59" s="18">
        <v>8634</v>
      </c>
      <c r="E59" s="18">
        <v>8317</v>
      </c>
      <c r="F59" s="18">
        <v>8363</v>
      </c>
      <c r="G59" s="18">
        <v>9158</v>
      </c>
      <c r="H59" s="64">
        <f>AVERAGE(C59:G59)</f>
        <v>8618.4</v>
      </c>
      <c r="I59" s="42">
        <f t="shared" ref="I59:L59" si="68">AVERAGE(D59:H59)</f>
        <v>8618.08</v>
      </c>
      <c r="J59" s="42">
        <f t="shared" si="68"/>
        <v>8614.8960000000006</v>
      </c>
      <c r="K59" s="42">
        <f t="shared" si="68"/>
        <v>8674.4752000000008</v>
      </c>
      <c r="L59" s="42">
        <f t="shared" si="68"/>
        <v>8736.7702400000016</v>
      </c>
    </row>
    <row r="60" spans="2:12" ht="15.75" x14ac:dyDescent="0.3">
      <c r="B60" s="16" t="s">
        <v>33</v>
      </c>
      <c r="C60" s="18">
        <v>117</v>
      </c>
      <c r="D60" s="18">
        <v>154</v>
      </c>
      <c r="E60" s="18">
        <v>99</v>
      </c>
      <c r="F60" s="18">
        <v>207</v>
      </c>
      <c r="G60" s="18">
        <v>0</v>
      </c>
      <c r="H60" s="99">
        <f>G60</f>
        <v>0</v>
      </c>
      <c r="I60" s="100">
        <f>H60</f>
        <v>0</v>
      </c>
      <c r="J60" s="100">
        <f t="shared" ref="J60:L60" si="69">I60</f>
        <v>0</v>
      </c>
      <c r="K60" s="100">
        <f t="shared" si="69"/>
        <v>0</v>
      </c>
      <c r="L60" s="100">
        <f t="shared" si="69"/>
        <v>0</v>
      </c>
    </row>
    <row r="61" spans="2:12" ht="15.75" x14ac:dyDescent="0.3">
      <c r="B61" s="14" t="s">
        <v>14</v>
      </c>
      <c r="C61" s="5">
        <v>78823</v>
      </c>
      <c r="D61" s="5">
        <v>78151</v>
      </c>
      <c r="E61" s="5">
        <v>79741</v>
      </c>
      <c r="F61" s="5">
        <v>87550</v>
      </c>
      <c r="G61" s="5">
        <v>84679</v>
      </c>
      <c r="H61" s="64">
        <f>(H20/365)*H32</f>
        <v>105992.18704563027</v>
      </c>
      <c r="I61" s="42">
        <f t="shared" ref="I61:L61" si="70">(I20/365)*I32</f>
        <v>116671.81992110219</v>
      </c>
      <c r="J61" s="42">
        <f t="shared" si="70"/>
        <v>121338.55337981271</v>
      </c>
      <c r="K61" s="42">
        <f t="shared" si="70"/>
        <v>143802.99012384078</v>
      </c>
      <c r="L61" s="42">
        <f t="shared" si="70"/>
        <v>158557.26578726122</v>
      </c>
    </row>
    <row r="62" spans="2:12" ht="15.75" x14ac:dyDescent="0.3">
      <c r="B62" s="14" t="s">
        <v>19</v>
      </c>
      <c r="C62" s="5">
        <v>2221</v>
      </c>
      <c r="D62" s="5">
        <v>2847</v>
      </c>
      <c r="E62" s="5">
        <v>2504</v>
      </c>
      <c r="F62" s="18">
        <v>2965</v>
      </c>
      <c r="G62" s="5">
        <v>2301</v>
      </c>
      <c r="H62" s="110">
        <f>G62*(1+H4)</f>
        <v>2519.0098904162651</v>
      </c>
      <c r="I62" s="111">
        <f t="shared" ref="I62:L62" si="71">H62*(1+I4)</f>
        <v>2773.8786133538088</v>
      </c>
      <c r="J62" s="111">
        <f t="shared" si="71"/>
        <v>3009.9168571619389</v>
      </c>
      <c r="K62" s="111">
        <f t="shared" si="71"/>
        <v>3466.5037179172205</v>
      </c>
      <c r="L62" s="111">
        <f t="shared" si="71"/>
        <v>3840.4793408135556</v>
      </c>
    </row>
    <row r="63" spans="2:12" ht="15.75" x14ac:dyDescent="0.3">
      <c r="B63" s="6" t="s">
        <v>18</v>
      </c>
      <c r="C63" s="7">
        <f>SUM(C56:C62)</f>
        <v>108666</v>
      </c>
      <c r="D63" s="7">
        <f>SUM(D56:D62)</f>
        <v>109523</v>
      </c>
      <c r="E63" s="7">
        <f>SUM(E56:E62)</f>
        <v>109275</v>
      </c>
      <c r="F63" s="7">
        <f t="shared" ref="F63" si="72">SUM(F56:F62)</f>
        <v>127998</v>
      </c>
      <c r="G63" s="7">
        <f>SUM(G56:G62)</f>
        <v>128459</v>
      </c>
      <c r="H63" s="101">
        <f>SUM(H56:H62)</f>
        <v>131489.04042018604</v>
      </c>
      <c r="I63" s="7">
        <f t="shared" ref="I63:L63" si="73">SUM(I56:I62)</f>
        <v>132611.04275090556</v>
      </c>
      <c r="J63" s="7">
        <f t="shared" si="73"/>
        <v>130901.36189648905</v>
      </c>
      <c r="K63" s="7">
        <f t="shared" si="73"/>
        <v>137592.00193324959</v>
      </c>
      <c r="L63" s="7">
        <f t="shared" si="73"/>
        <v>141401.19286843404</v>
      </c>
    </row>
    <row r="64" spans="2:12" ht="15.75" x14ac:dyDescent="0.3">
      <c r="B64" s="16" t="s">
        <v>125</v>
      </c>
      <c r="C64" s="18">
        <v>1695</v>
      </c>
      <c r="D64" s="18">
        <v>1450</v>
      </c>
      <c r="E64" s="18">
        <v>860</v>
      </c>
      <c r="F64" s="18">
        <v>314</v>
      </c>
      <c r="G64" s="18">
        <v>241</v>
      </c>
      <c r="H64" s="102">
        <v>191</v>
      </c>
      <c r="I64" s="103">
        <v>141</v>
      </c>
      <c r="J64" s="103">
        <v>91</v>
      </c>
      <c r="K64" s="103">
        <v>41</v>
      </c>
      <c r="L64" s="103">
        <v>0</v>
      </c>
    </row>
    <row r="65" spans="2:12" ht="15.75" x14ac:dyDescent="0.3">
      <c r="B65" s="14" t="s">
        <v>15</v>
      </c>
      <c r="C65" s="5">
        <v>10918</v>
      </c>
      <c r="D65" s="5">
        <v>10550</v>
      </c>
      <c r="E65" s="5">
        <v>10661</v>
      </c>
      <c r="F65" s="5">
        <v>11412</v>
      </c>
      <c r="G65" s="5">
        <v>15361</v>
      </c>
      <c r="H65" s="67">
        <f>G65 - H119 - H99</f>
        <v>14746.44289830964</v>
      </c>
      <c r="I65" s="68">
        <f t="shared" ref="I65:L65" si="74">H65 - I119 - I99</f>
        <v>14030.600498989737</v>
      </c>
      <c r="J65" s="68">
        <f t="shared" si="74"/>
        <v>13348.405890570626</v>
      </c>
      <c r="K65" s="68">
        <f t="shared" si="74"/>
        <v>12276.841371532475</v>
      </c>
      <c r="L65" s="68">
        <f t="shared" si="74"/>
        <v>10856.488757429579</v>
      </c>
    </row>
    <row r="66" spans="2:12" ht="15.75" x14ac:dyDescent="0.3">
      <c r="B66" s="14" t="s">
        <v>29</v>
      </c>
      <c r="C66" s="5">
        <v>8068</v>
      </c>
      <c r="D66" s="5">
        <v>8057</v>
      </c>
      <c r="E66" s="5">
        <v>8093</v>
      </c>
      <c r="F66" s="5">
        <v>8084</v>
      </c>
      <c r="G66" s="18">
        <v>17275</v>
      </c>
      <c r="H66" s="98">
        <f>G66</f>
        <v>17275</v>
      </c>
      <c r="I66" s="18">
        <f t="shared" ref="I66:L66" si="75">H66</f>
        <v>17275</v>
      </c>
      <c r="J66" s="18">
        <f t="shared" si="75"/>
        <v>17275</v>
      </c>
      <c r="K66" s="18">
        <f t="shared" si="75"/>
        <v>17275</v>
      </c>
      <c r="L66" s="18">
        <f t="shared" si="75"/>
        <v>17275</v>
      </c>
    </row>
    <row r="67" spans="2:12" ht="15.75" x14ac:dyDescent="0.3">
      <c r="B67" s="14" t="s">
        <v>30</v>
      </c>
      <c r="C67" s="5">
        <v>2562</v>
      </c>
      <c r="D67" s="5">
        <v>2311</v>
      </c>
      <c r="E67" s="5">
        <v>2094</v>
      </c>
      <c r="F67" s="5">
        <v>1957</v>
      </c>
      <c r="G67" s="5">
        <v>1567</v>
      </c>
      <c r="H67" s="67">
        <f>AVERAGE(C67:G67)</f>
        <v>2098.1999999999998</v>
      </c>
      <c r="I67" s="68">
        <f t="shared" ref="I67:L67" si="76">AVERAGE(D67:H67)</f>
        <v>2005.44</v>
      </c>
      <c r="J67" s="68">
        <f t="shared" si="76"/>
        <v>1944.328</v>
      </c>
      <c r="K67" s="68">
        <f t="shared" si="76"/>
        <v>1914.3935999999999</v>
      </c>
      <c r="L67" s="68">
        <f t="shared" si="76"/>
        <v>1905.8723199999997</v>
      </c>
    </row>
    <row r="68" spans="2:12" ht="15.75" x14ac:dyDescent="0.3">
      <c r="B68" s="16" t="s">
        <v>31</v>
      </c>
      <c r="C68" s="18">
        <v>77</v>
      </c>
      <c r="D68" s="18">
        <v>63</v>
      </c>
      <c r="E68" s="18">
        <v>59</v>
      </c>
      <c r="F68" s="18">
        <v>185</v>
      </c>
      <c r="G68" s="18">
        <v>107</v>
      </c>
      <c r="H68" s="67">
        <f>G68</f>
        <v>107</v>
      </c>
      <c r="I68" s="68">
        <f>H68</f>
        <v>107</v>
      </c>
      <c r="J68" s="68">
        <f t="shared" ref="J68:L68" si="77">I68</f>
        <v>107</v>
      </c>
      <c r="K68" s="68">
        <f t="shared" si="77"/>
        <v>107</v>
      </c>
      <c r="L68" s="68">
        <f t="shared" si="77"/>
        <v>107</v>
      </c>
    </row>
    <row r="69" spans="2:12" ht="15.75" x14ac:dyDescent="0.3">
      <c r="B69" s="16" t="s">
        <v>32</v>
      </c>
      <c r="C69" s="18">
        <v>975</v>
      </c>
      <c r="D69" s="18">
        <v>983</v>
      </c>
      <c r="E69" s="18">
        <v>1035</v>
      </c>
      <c r="F69" s="18">
        <v>999</v>
      </c>
      <c r="G69" s="18">
        <v>1048</v>
      </c>
      <c r="H69" s="67">
        <f>G69</f>
        <v>1048</v>
      </c>
      <c r="I69" s="68">
        <f>H69</f>
        <v>1048</v>
      </c>
      <c r="J69" s="68">
        <f t="shared" ref="J69:L69" si="78">I69</f>
        <v>1048</v>
      </c>
      <c r="K69" s="68">
        <f t="shared" si="78"/>
        <v>1048</v>
      </c>
      <c r="L69" s="68">
        <f t="shared" si="78"/>
        <v>1048</v>
      </c>
    </row>
    <row r="70" spans="2:12" ht="15.75" x14ac:dyDescent="0.3">
      <c r="B70" s="16" t="s">
        <v>135</v>
      </c>
      <c r="C70" s="18">
        <v>5591</v>
      </c>
      <c r="D70" s="18">
        <v>4163</v>
      </c>
      <c r="E70" s="18">
        <v>4935</v>
      </c>
      <c r="F70" s="18">
        <v>5414</v>
      </c>
      <c r="G70" s="18">
        <v>4177</v>
      </c>
      <c r="H70" s="110">
        <f>G70*(1+H4)</f>
        <v>4572.7528519203561</v>
      </c>
      <c r="I70" s="111">
        <f t="shared" ref="I70:L70" si="79">H70*(1+I4)</f>
        <v>5035.4154576179308</v>
      </c>
      <c r="J70" s="111">
        <f t="shared" si="79"/>
        <v>5463.8951379249966</v>
      </c>
      <c r="K70" s="111">
        <f t="shared" si="79"/>
        <v>6292.73621457637</v>
      </c>
      <c r="L70" s="111">
        <f t="shared" si="79"/>
        <v>6971.6133014246934</v>
      </c>
    </row>
    <row r="71" spans="2:12" ht="15.75" x14ac:dyDescent="0.3">
      <c r="B71" s="24" t="s">
        <v>20</v>
      </c>
      <c r="C71" s="25">
        <f>SUM(C63:C70)</f>
        <v>138552</v>
      </c>
      <c r="D71" s="25">
        <f t="shared" ref="D71:L71" si="80">SUM(D63:D70)</f>
        <v>137100</v>
      </c>
      <c r="E71" s="25">
        <f t="shared" si="80"/>
        <v>137012</v>
      </c>
      <c r="F71" s="25">
        <f t="shared" si="80"/>
        <v>156363</v>
      </c>
      <c r="G71" s="26">
        <f t="shared" si="80"/>
        <v>168235</v>
      </c>
      <c r="H71" s="71">
        <f t="shared" si="80"/>
        <v>171527.43617041604</v>
      </c>
      <c r="I71" s="71">
        <f t="shared" si="80"/>
        <v>172253.49870751324</v>
      </c>
      <c r="J71" s="71">
        <f t="shared" si="80"/>
        <v>170178.99092498468</v>
      </c>
      <c r="K71" s="71">
        <f t="shared" si="80"/>
        <v>176546.97311935844</v>
      </c>
      <c r="L71" s="71">
        <f t="shared" si="80"/>
        <v>179565.16724728831</v>
      </c>
    </row>
    <row r="72" spans="2:12" ht="15.75" x14ac:dyDescent="0.3">
      <c r="B72" s="10" t="s">
        <v>16</v>
      </c>
      <c r="C72" s="18">
        <v>9261</v>
      </c>
      <c r="D72" s="18">
        <v>10200</v>
      </c>
      <c r="E72" s="18">
        <v>11964</v>
      </c>
      <c r="F72" s="18">
        <v>11364</v>
      </c>
      <c r="G72" s="18">
        <v>13109</v>
      </c>
      <c r="H72" s="65">
        <f>(H21/365) *H32</f>
        <v>15078.897350071435</v>
      </c>
      <c r="I72" s="46">
        <f t="shared" ref="I72:L72" si="81">(I21/365) *I32</f>
        <v>16714.962279726053</v>
      </c>
      <c r="J72" s="46">
        <f t="shared" si="81"/>
        <v>18161.47747553642</v>
      </c>
      <c r="K72" s="46">
        <f t="shared" si="81"/>
        <v>20717.922819342733</v>
      </c>
      <c r="L72" s="46">
        <f t="shared" si="81"/>
        <v>22827.393964684325</v>
      </c>
    </row>
    <row r="73" spans="2:12" ht="15.75" x14ac:dyDescent="0.3">
      <c r="B73" s="16" t="s">
        <v>34</v>
      </c>
      <c r="C73" s="18">
        <v>18455</v>
      </c>
      <c r="D73" s="18">
        <v>21581</v>
      </c>
      <c r="E73" s="18">
        <v>22331</v>
      </c>
      <c r="F73" s="18">
        <v>24103</v>
      </c>
      <c r="G73" s="18">
        <v>27141</v>
      </c>
      <c r="H73" s="64">
        <f>G73*(1+H4)</f>
        <v>29712.493453188981</v>
      </c>
      <c r="I73" s="42">
        <f t="shared" ref="I73:L73" si="82">H73*(1+I4)</f>
        <v>32718.748129089839</v>
      </c>
      <c r="J73" s="42">
        <f t="shared" si="82"/>
        <v>35502.891534216506</v>
      </c>
      <c r="K73" s="42">
        <f t="shared" si="82"/>
        <v>40888.473449800644</v>
      </c>
      <c r="L73" s="42">
        <f t="shared" si="82"/>
        <v>45299.630503703047</v>
      </c>
    </row>
    <row r="74" spans="2:12" ht="15.75" x14ac:dyDescent="0.3">
      <c r="B74" s="16" t="s">
        <v>35</v>
      </c>
      <c r="C74" s="18">
        <v>52980</v>
      </c>
      <c r="D74" s="18">
        <v>53081</v>
      </c>
      <c r="E74" s="18">
        <v>56328</v>
      </c>
      <c r="F74" s="18">
        <v>60333</v>
      </c>
      <c r="G74" s="18">
        <v>59404</v>
      </c>
      <c r="H74" s="64">
        <f>G74*(1+H4)</f>
        <v>65032.274459055974</v>
      </c>
      <c r="I74" s="42">
        <f t="shared" ref="I74:L74" si="83">H74*(1+I4)</f>
        <v>71612.118708244088</v>
      </c>
      <c r="J74" s="42">
        <f t="shared" si="83"/>
        <v>77705.823982115515</v>
      </c>
      <c r="K74" s="42">
        <f t="shared" si="83"/>
        <v>89493.345006151474</v>
      </c>
      <c r="L74" s="42">
        <f t="shared" si="83"/>
        <v>99148.124624810269</v>
      </c>
    </row>
    <row r="75" spans="2:12" ht="15.75" x14ac:dyDescent="0.3">
      <c r="B75" s="16" t="s">
        <v>36</v>
      </c>
      <c r="C75" s="18">
        <v>1296</v>
      </c>
      <c r="D75" s="18">
        <v>5190</v>
      </c>
      <c r="E75" s="18">
        <v>5204</v>
      </c>
      <c r="F75" s="18">
        <v>1278</v>
      </c>
      <c r="G75" s="18">
        <v>8461</v>
      </c>
      <c r="H75" s="104">
        <f>G75</f>
        <v>8461</v>
      </c>
      <c r="I75" s="105">
        <f>H75</f>
        <v>8461</v>
      </c>
      <c r="J75" s="105">
        <f t="shared" ref="J75:L75" si="84">I75</f>
        <v>8461</v>
      </c>
      <c r="K75" s="105">
        <f t="shared" si="84"/>
        <v>8461</v>
      </c>
      <c r="L75" s="105">
        <f t="shared" si="84"/>
        <v>8461</v>
      </c>
    </row>
    <row r="76" spans="2:12" ht="15.75" x14ac:dyDescent="0.3">
      <c r="B76" s="6" t="s">
        <v>23</v>
      </c>
      <c r="C76" s="7">
        <f t="shared" ref="C76:F76" si="85">SUM(C72:C75)</f>
        <v>81992</v>
      </c>
      <c r="D76" s="7">
        <f t="shared" si="85"/>
        <v>90052</v>
      </c>
      <c r="E76" s="7">
        <f t="shared" si="85"/>
        <v>95827</v>
      </c>
      <c r="F76" s="7">
        <f t="shared" si="85"/>
        <v>97078</v>
      </c>
      <c r="G76" s="7">
        <f>SUM(G72:G75)</f>
        <v>108115</v>
      </c>
      <c r="H76" s="96">
        <f t="shared" ref="H76:L76" si="86">SUM(H72:H75)</f>
        <v>118284.66526231638</v>
      </c>
      <c r="I76" s="71">
        <f t="shared" si="86"/>
        <v>129506.82911705998</v>
      </c>
      <c r="J76" s="71">
        <f t="shared" si="86"/>
        <v>139831.19299186845</v>
      </c>
      <c r="K76" s="71">
        <f t="shared" si="86"/>
        <v>159560.74127529486</v>
      </c>
      <c r="L76" s="71">
        <f t="shared" si="86"/>
        <v>175736.14909319766</v>
      </c>
    </row>
    <row r="77" spans="2:12" ht="15.75" x14ac:dyDescent="0.3">
      <c r="B77" s="16" t="s">
        <v>31</v>
      </c>
      <c r="C77" s="18">
        <v>218</v>
      </c>
      <c r="D77" s="18">
        <v>230</v>
      </c>
      <c r="E77" s="18">
        <v>229</v>
      </c>
      <c r="F77" s="18">
        <v>122</v>
      </c>
      <c r="G77" s="18">
        <v>216</v>
      </c>
      <c r="H77" s="67">
        <f>AVERAGE(C77:G77)</f>
        <v>203</v>
      </c>
      <c r="I77" s="68">
        <f t="shared" ref="I77:L77" si="87">AVERAGE(D77:H77)</f>
        <v>200</v>
      </c>
      <c r="J77" s="68">
        <f t="shared" si="87"/>
        <v>194</v>
      </c>
      <c r="K77" s="68">
        <f t="shared" si="87"/>
        <v>187</v>
      </c>
      <c r="L77" s="68">
        <f t="shared" si="87"/>
        <v>200</v>
      </c>
    </row>
    <row r="78" spans="2:12" ht="15.75" x14ac:dyDescent="0.3">
      <c r="B78" s="10" t="s">
        <v>37</v>
      </c>
      <c r="C78" s="18">
        <v>3528</v>
      </c>
      <c r="D78" s="18">
        <v>2503</v>
      </c>
      <c r="E78" s="18">
        <v>2233</v>
      </c>
      <c r="F78" s="18">
        <v>2176</v>
      </c>
      <c r="G78" s="18">
        <v>2091</v>
      </c>
      <c r="H78" s="98">
        <v>1900</v>
      </c>
      <c r="I78" s="18">
        <v>1700</v>
      </c>
      <c r="J78" s="18">
        <v>1500</v>
      </c>
      <c r="K78" s="18">
        <v>1300</v>
      </c>
      <c r="L78" s="18">
        <v>1100</v>
      </c>
    </row>
    <row r="79" spans="2:12" ht="15.75" x14ac:dyDescent="0.3">
      <c r="B79" s="10" t="s">
        <v>38</v>
      </c>
      <c r="C79" s="18">
        <v>9104</v>
      </c>
      <c r="D79" s="18">
        <v>6141</v>
      </c>
      <c r="E79" s="18">
        <v>6516</v>
      </c>
      <c r="F79" s="18">
        <v>5997</v>
      </c>
      <c r="G79" s="18">
        <v>4287</v>
      </c>
      <c r="H79" s="98">
        <v>3990</v>
      </c>
      <c r="I79" s="18">
        <v>3690</v>
      </c>
      <c r="J79" s="18">
        <v>3390</v>
      </c>
      <c r="K79" s="18">
        <v>3090</v>
      </c>
      <c r="L79" s="18">
        <v>2790</v>
      </c>
    </row>
    <row r="80" spans="2:12" ht="15.75" x14ac:dyDescent="0.3">
      <c r="B80" s="10" t="s">
        <v>39</v>
      </c>
      <c r="C80" s="18">
        <v>1750</v>
      </c>
      <c r="D80" s="18">
        <v>2211</v>
      </c>
      <c r="E80" s="18">
        <v>2332</v>
      </c>
      <c r="F80" s="18">
        <v>2318</v>
      </c>
      <c r="G80" s="18">
        <v>2432</v>
      </c>
      <c r="H80" s="67">
        <f>G80</f>
        <v>2432</v>
      </c>
      <c r="I80" s="68">
        <f>H80</f>
        <v>2432</v>
      </c>
      <c r="J80" s="68">
        <f t="shared" ref="J80:L80" si="88">I80</f>
        <v>2432</v>
      </c>
      <c r="K80" s="68">
        <f t="shared" si="88"/>
        <v>2432</v>
      </c>
      <c r="L80" s="68">
        <f t="shared" si="88"/>
        <v>2432</v>
      </c>
    </row>
    <row r="81" spans="2:12" ht="15.75" x14ac:dyDescent="0.3">
      <c r="B81" s="10" t="s">
        <v>21</v>
      </c>
      <c r="C81" s="18">
        <v>56806</v>
      </c>
      <c r="D81" s="18">
        <v>51811</v>
      </c>
      <c r="E81" s="18">
        <v>47103</v>
      </c>
      <c r="F81" s="18">
        <v>52586</v>
      </c>
      <c r="G81" s="18">
        <v>45637</v>
      </c>
      <c r="H81" s="67">
        <f>G81</f>
        <v>45637</v>
      </c>
      <c r="I81" s="68">
        <f>H81</f>
        <v>45637</v>
      </c>
      <c r="J81" s="68">
        <f t="shared" ref="J81:L81" si="89">I81</f>
        <v>45637</v>
      </c>
      <c r="K81" s="68">
        <f t="shared" si="89"/>
        <v>45637</v>
      </c>
      <c r="L81" s="68">
        <f t="shared" si="89"/>
        <v>45637</v>
      </c>
    </row>
    <row r="82" spans="2:12" ht="15.75" x14ac:dyDescent="0.3">
      <c r="B82" s="24" t="s">
        <v>22</v>
      </c>
      <c r="C82" s="25">
        <f t="shared" ref="C82:E82" si="90">SUM(C76:C81)</f>
        <v>153398</v>
      </c>
      <c r="D82" s="25">
        <f t="shared" si="90"/>
        <v>152948</v>
      </c>
      <c r="E82" s="25">
        <f t="shared" si="90"/>
        <v>154240</v>
      </c>
      <c r="F82" s="25">
        <f>SUM(F76:F81)</f>
        <v>160277</v>
      </c>
      <c r="G82" s="26">
        <f>SUM(G76:G81)</f>
        <v>162778</v>
      </c>
      <c r="H82" s="25">
        <f t="shared" ref="H82:L82" si="91">SUM(H76:H81)</f>
        <v>172446.66526231638</v>
      </c>
      <c r="I82" s="25">
        <f t="shared" si="91"/>
        <v>183165.82911706</v>
      </c>
      <c r="J82" s="25">
        <f t="shared" si="91"/>
        <v>192984.19299186845</v>
      </c>
      <c r="K82" s="25">
        <f t="shared" si="91"/>
        <v>212206.74127529486</v>
      </c>
      <c r="L82" s="25">
        <f t="shared" si="91"/>
        <v>227895.14909319766</v>
      </c>
    </row>
    <row r="83" spans="2:12" ht="15.75" x14ac:dyDescent="0.3">
      <c r="B83" s="10" t="s">
        <v>40</v>
      </c>
      <c r="C83" s="18">
        <v>5061</v>
      </c>
      <c r="D83" s="5">
        <v>5061</v>
      </c>
      <c r="E83" s="5">
        <v>5061</v>
      </c>
      <c r="F83" s="5">
        <v>5061</v>
      </c>
      <c r="G83" s="18">
        <v>5061</v>
      </c>
      <c r="H83" s="106">
        <f>G83</f>
        <v>5061</v>
      </c>
      <c r="I83" s="5">
        <f>H83</f>
        <v>5061</v>
      </c>
      <c r="J83" s="5">
        <f t="shared" ref="J83:L83" si="92">I83</f>
        <v>5061</v>
      </c>
      <c r="K83" s="5">
        <f t="shared" si="92"/>
        <v>5061</v>
      </c>
      <c r="L83" s="5">
        <f t="shared" si="92"/>
        <v>5061</v>
      </c>
    </row>
    <row r="84" spans="2:12" ht="15.75" x14ac:dyDescent="0.3">
      <c r="B84" s="10" t="s">
        <v>24</v>
      </c>
      <c r="C84" s="5">
        <v>9052</v>
      </c>
      <c r="D84" s="5">
        <v>9947</v>
      </c>
      <c r="E84" s="5">
        <v>10309</v>
      </c>
      <c r="F84" s="5">
        <v>18964</v>
      </c>
      <c r="G84" s="5">
        <v>21441</v>
      </c>
      <c r="H84" s="67">
        <f>G84+H97</f>
        <v>22057.200000000001</v>
      </c>
      <c r="I84" s="68">
        <f t="shared" ref="I84:L84" si="93">H84+I97</f>
        <v>22630.04</v>
      </c>
      <c r="J84" s="68">
        <f t="shared" si="93"/>
        <v>23172.448</v>
      </c>
      <c r="K84" s="68">
        <f t="shared" si="93"/>
        <v>23685.337599999999</v>
      </c>
      <c r="L84" s="68">
        <f t="shared" si="93"/>
        <v>24219.405119999999</v>
      </c>
    </row>
    <row r="85" spans="2:12" ht="15.75" x14ac:dyDescent="0.3">
      <c r="B85" s="10" t="s">
        <v>25</v>
      </c>
      <c r="C85" s="5">
        <v>-51861</v>
      </c>
      <c r="D85" s="5">
        <v>-50814</v>
      </c>
      <c r="E85" s="5">
        <v>-49549</v>
      </c>
      <c r="F85" s="5">
        <v>-32386</v>
      </c>
      <c r="G85" s="5">
        <v>-28029</v>
      </c>
      <c r="H85" s="67">
        <f>G85+H98</f>
        <v>-26610.2</v>
      </c>
      <c r="I85" s="68">
        <f t="shared" ref="I85:L85" si="94">H85+I98</f>
        <v>-25154.240000000002</v>
      </c>
      <c r="J85" s="68">
        <f t="shared" si="94"/>
        <v>-23650.088000000003</v>
      </c>
      <c r="K85" s="68">
        <f t="shared" si="94"/>
        <v>-22148.105600000003</v>
      </c>
      <c r="L85" s="68">
        <f t="shared" si="94"/>
        <v>-20665.926720000003</v>
      </c>
    </row>
    <row r="86" spans="2:12" ht="15.75" x14ac:dyDescent="0.3">
      <c r="B86" s="10" t="s">
        <v>26</v>
      </c>
      <c r="C86" s="5">
        <v>34408</v>
      </c>
      <c r="D86" s="5">
        <v>29473</v>
      </c>
      <c r="E86" s="5">
        <v>27251</v>
      </c>
      <c r="F86" s="5">
        <v>15362</v>
      </c>
      <c r="G86" s="5">
        <v>17252</v>
      </c>
      <c r="H86" s="67">
        <f>G86+H45</f>
        <v>11426.4180561793</v>
      </c>
      <c r="I86" s="68">
        <f t="shared" ref="I86:L86" si="95">H86+I45</f>
        <v>5080.880799501997</v>
      </c>
      <c r="J86" s="68">
        <f t="shared" si="95"/>
        <v>-1719.2163159198799</v>
      </c>
      <c r="K86" s="68">
        <f t="shared" si="95"/>
        <v>-9342.5421186609383</v>
      </c>
      <c r="L86" s="68">
        <f t="shared" si="95"/>
        <v>-17673.233531531587</v>
      </c>
    </row>
    <row r="87" spans="2:12" ht="15.75" x14ac:dyDescent="0.3">
      <c r="B87" s="10" t="s">
        <v>41</v>
      </c>
      <c r="C87" s="18">
        <v>-11659</v>
      </c>
      <c r="D87" s="18">
        <v>-9550</v>
      </c>
      <c r="E87" s="18">
        <v>-10305</v>
      </c>
      <c r="F87" s="18">
        <v>-10915</v>
      </c>
      <c r="G87" s="18">
        <v>-10277</v>
      </c>
      <c r="H87" s="20">
        <f>G87</f>
        <v>-10277</v>
      </c>
      <c r="I87" s="5">
        <f>G87</f>
        <v>-10277</v>
      </c>
      <c r="J87" s="5">
        <f t="shared" ref="J87:L87" si="96">H87</f>
        <v>-10277</v>
      </c>
      <c r="K87" s="5">
        <f t="shared" si="96"/>
        <v>-10277</v>
      </c>
      <c r="L87" s="5">
        <f t="shared" si="96"/>
        <v>-10277</v>
      </c>
    </row>
    <row r="88" spans="2:12" ht="15.75" x14ac:dyDescent="0.3">
      <c r="B88" s="6" t="s">
        <v>42</v>
      </c>
      <c r="C88" s="7">
        <f>SUM(C83:C87)</f>
        <v>-14999</v>
      </c>
      <c r="D88" s="7">
        <f>SUM(D83:D87)</f>
        <v>-15883</v>
      </c>
      <c r="E88" s="7">
        <f>SUM(E83:E87)</f>
        <v>-17233</v>
      </c>
      <c r="F88" s="7">
        <f>SUM(F83:F87)</f>
        <v>-3914</v>
      </c>
      <c r="G88" s="29">
        <f>SUM(G83:G87)</f>
        <v>5448</v>
      </c>
      <c r="H88" s="7">
        <f t="shared" ref="H88:L88" si="97">SUM(H83:H87)</f>
        <v>1657.4180561793</v>
      </c>
      <c r="I88" s="7">
        <f t="shared" si="97"/>
        <v>-2659.3192004980037</v>
      </c>
      <c r="J88" s="7">
        <f t="shared" si="97"/>
        <v>-7412.8563159198829</v>
      </c>
      <c r="K88" s="7">
        <f t="shared" si="97"/>
        <v>-13021.310118660942</v>
      </c>
      <c r="L88" s="7">
        <f t="shared" si="97"/>
        <v>-19335.75513153159</v>
      </c>
    </row>
    <row r="89" spans="2:12" ht="15.75" x14ac:dyDescent="0.3">
      <c r="B89" s="4" t="s">
        <v>45</v>
      </c>
      <c r="C89" s="5">
        <v>0</v>
      </c>
      <c r="D89" s="5">
        <v>0</v>
      </c>
      <c r="E89" s="5">
        <v>0</v>
      </c>
      <c r="F89" s="5">
        <v>6</v>
      </c>
      <c r="G89" s="5">
        <v>6</v>
      </c>
      <c r="H89" s="67">
        <f>G89</f>
        <v>6</v>
      </c>
      <c r="I89" s="5">
        <v>0</v>
      </c>
      <c r="J89" s="5">
        <v>0</v>
      </c>
      <c r="K89" s="5">
        <v>0</v>
      </c>
      <c r="L89" s="5">
        <v>0</v>
      </c>
    </row>
    <row r="90" spans="2:12" ht="15.75" x14ac:dyDescent="0.3">
      <c r="B90" s="10" t="s">
        <v>43</v>
      </c>
      <c r="C90" s="18">
        <v>153</v>
      </c>
      <c r="D90" s="18">
        <v>35</v>
      </c>
      <c r="E90" s="18">
        <v>5</v>
      </c>
      <c r="F90" s="18">
        <v>-6</v>
      </c>
      <c r="G90" s="18">
        <v>3</v>
      </c>
      <c r="H90" s="104">
        <f>G90</f>
        <v>3</v>
      </c>
      <c r="I90" s="18">
        <f>H90</f>
        <v>3</v>
      </c>
      <c r="J90" s="18">
        <f t="shared" ref="J90:L90" si="98">I90</f>
        <v>3</v>
      </c>
      <c r="K90" s="18">
        <f t="shared" si="98"/>
        <v>3</v>
      </c>
      <c r="L90" s="18">
        <f t="shared" si="98"/>
        <v>3</v>
      </c>
    </row>
    <row r="91" spans="2:12" ht="15.75" x14ac:dyDescent="0.3">
      <c r="B91" s="24" t="s">
        <v>27</v>
      </c>
      <c r="C91" s="25">
        <f>SUM(C88:C90)</f>
        <v>-14846</v>
      </c>
      <c r="D91" s="25">
        <f t="shared" ref="D91:L91" si="99">SUM(D88:D90)</f>
        <v>-15848</v>
      </c>
      <c r="E91" s="25">
        <f t="shared" si="99"/>
        <v>-17228</v>
      </c>
      <c r="F91" s="25">
        <f t="shared" si="99"/>
        <v>-3914</v>
      </c>
      <c r="G91" s="29">
        <f t="shared" si="99"/>
        <v>5457</v>
      </c>
      <c r="H91" s="7">
        <f t="shared" si="99"/>
        <v>1666.4180561793</v>
      </c>
      <c r="I91" s="7">
        <f t="shared" si="99"/>
        <v>-2656.3192004980037</v>
      </c>
      <c r="J91" s="7">
        <f t="shared" si="99"/>
        <v>-7409.8563159198829</v>
      </c>
      <c r="K91" s="7">
        <f t="shared" si="99"/>
        <v>-13018.310118660942</v>
      </c>
      <c r="L91" s="7">
        <f t="shared" si="99"/>
        <v>-19332.75513153159</v>
      </c>
    </row>
    <row r="92" spans="2:12" ht="16.5" thickBot="1" x14ac:dyDescent="0.35">
      <c r="B92" s="12" t="s">
        <v>44</v>
      </c>
      <c r="C92" s="13">
        <f t="shared" ref="C92:H92" si="100">SUM(C82+C91)</f>
        <v>138552</v>
      </c>
      <c r="D92" s="13">
        <f t="shared" si="100"/>
        <v>137100</v>
      </c>
      <c r="E92" s="13">
        <f t="shared" si="100"/>
        <v>137012</v>
      </c>
      <c r="F92" s="13">
        <f t="shared" si="100"/>
        <v>156363</v>
      </c>
      <c r="G92" s="13">
        <f t="shared" si="100"/>
        <v>168235</v>
      </c>
      <c r="H92" s="75">
        <f t="shared" si="100"/>
        <v>174113.08331849569</v>
      </c>
      <c r="I92" s="13">
        <f t="shared" ref="I92:L92" si="101">SUM(I82+I91)</f>
        <v>180509.509916562</v>
      </c>
      <c r="J92" s="13">
        <f t="shared" si="101"/>
        <v>185574.33667594855</v>
      </c>
      <c r="K92" s="13">
        <f t="shared" si="101"/>
        <v>199188.43115663392</v>
      </c>
      <c r="L92" s="13">
        <f t="shared" si="101"/>
        <v>208562.39396166606</v>
      </c>
    </row>
    <row r="93" spans="2:12" ht="16.5" thickTop="1" x14ac:dyDescent="0.3">
      <c r="B93" s="16" t="s">
        <v>114</v>
      </c>
      <c r="C93" s="39" t="str">
        <f>IF(C92=C71, "✓", "✗")</f>
        <v>✓</v>
      </c>
      <c r="D93" s="39" t="str">
        <f t="shared" ref="D93:L93" si="102">IF(D92=D71, "✓", "✗")</f>
        <v>✓</v>
      </c>
      <c r="E93" s="39" t="str">
        <f t="shared" si="102"/>
        <v>✓</v>
      </c>
      <c r="F93" s="39" t="str">
        <f t="shared" si="102"/>
        <v>✓</v>
      </c>
      <c r="G93" s="39" t="str">
        <f t="shared" si="102"/>
        <v>✓</v>
      </c>
      <c r="H93" s="112" t="str">
        <f t="shared" si="102"/>
        <v>✗</v>
      </c>
      <c r="I93" s="112" t="str">
        <f t="shared" si="102"/>
        <v>✗</v>
      </c>
      <c r="J93" s="112" t="str">
        <f t="shared" si="102"/>
        <v>✗</v>
      </c>
      <c r="K93" s="112" t="str">
        <f t="shared" si="102"/>
        <v>✗</v>
      </c>
      <c r="L93" s="112" t="str">
        <f t="shared" si="102"/>
        <v>✗</v>
      </c>
    </row>
    <row r="94" spans="2:12" ht="15.75" x14ac:dyDescent="0.3">
      <c r="B94" s="10"/>
      <c r="H94" s="109"/>
      <c r="I94" s="109"/>
      <c r="J94" s="109"/>
      <c r="K94" s="109"/>
      <c r="L94" s="109"/>
    </row>
    <row r="95" spans="2:12" ht="15.75" x14ac:dyDescent="0.3">
      <c r="B95" s="1" t="s">
        <v>48</v>
      </c>
      <c r="C95" s="2">
        <v>2021</v>
      </c>
      <c r="D95" s="2">
        <f t="shared" ref="D95" si="103">+C95+1</f>
        <v>2022</v>
      </c>
      <c r="E95" s="2">
        <f t="shared" ref="E95" si="104">+D95+1</f>
        <v>2023</v>
      </c>
      <c r="F95" s="2">
        <f t="shared" ref="F95" si="105">+E95+1</f>
        <v>2024</v>
      </c>
      <c r="G95" s="2">
        <f>+F95+1</f>
        <v>2025</v>
      </c>
      <c r="H95" s="2">
        <f t="shared" ref="H95" si="106">+G95+1</f>
        <v>2026</v>
      </c>
      <c r="I95" s="2">
        <f t="shared" ref="I95" si="107">+H95+1</f>
        <v>2027</v>
      </c>
      <c r="J95" s="2">
        <f t="shared" ref="J95" si="108">+I95+1</f>
        <v>2028</v>
      </c>
      <c r="K95" s="2">
        <f t="shared" ref="K95" si="109">+J95+1</f>
        <v>2029</v>
      </c>
      <c r="L95" s="2">
        <f t="shared" ref="L95" si="110">+K95+1</f>
        <v>2030</v>
      </c>
    </row>
    <row r="96" spans="2:12" ht="15.75" x14ac:dyDescent="0.3">
      <c r="B96" s="14" t="s">
        <v>49</v>
      </c>
      <c r="C96" s="5">
        <f>C45</f>
        <v>-4290</v>
      </c>
      <c r="D96" s="5">
        <f>D45</f>
        <v>-5053</v>
      </c>
      <c r="E96" s="5">
        <f>E45</f>
        <v>-2242</v>
      </c>
      <c r="F96" s="5">
        <f>F45</f>
        <v>-11829</v>
      </c>
      <c r="G96" s="5">
        <f>G45</f>
        <v>2238</v>
      </c>
      <c r="H96" s="20">
        <f t="shared" ref="H96:L96" si="111">H45</f>
        <v>-5825.5819438207</v>
      </c>
      <c r="I96" s="5">
        <f t="shared" si="111"/>
        <v>-6345.537256677303</v>
      </c>
      <c r="J96" s="5">
        <f t="shared" si="111"/>
        <v>-6800.0971154218769</v>
      </c>
      <c r="K96" s="5">
        <f t="shared" si="111"/>
        <v>-7623.3258027410575</v>
      </c>
      <c r="L96" s="5">
        <f t="shared" si="111"/>
        <v>-8330.6914128706467</v>
      </c>
    </row>
    <row r="97" spans="2:12" ht="15.75" x14ac:dyDescent="0.3">
      <c r="B97" s="14" t="s">
        <v>60</v>
      </c>
      <c r="C97" s="5">
        <v>833</v>
      </c>
      <c r="D97" s="5">
        <v>725</v>
      </c>
      <c r="E97" s="5">
        <v>690</v>
      </c>
      <c r="F97" s="5">
        <v>407</v>
      </c>
      <c r="G97" s="5">
        <v>426</v>
      </c>
      <c r="H97" s="67">
        <f>AVERAGE(C97:G97)</f>
        <v>616.20000000000005</v>
      </c>
      <c r="I97" s="68">
        <f t="shared" ref="I97:L97" si="112">AVERAGE(D97:H97)</f>
        <v>572.83999999999992</v>
      </c>
      <c r="J97" s="68">
        <f t="shared" si="112"/>
        <v>542.40800000000002</v>
      </c>
      <c r="K97" s="68">
        <f t="shared" si="112"/>
        <v>512.88959999999997</v>
      </c>
      <c r="L97" s="68">
        <f t="shared" si="112"/>
        <v>534.06751999999994</v>
      </c>
    </row>
    <row r="98" spans="2:12" ht="15.75" x14ac:dyDescent="0.3">
      <c r="B98" s="14" t="s">
        <v>61</v>
      </c>
      <c r="C98" s="5">
        <v>1233</v>
      </c>
      <c r="D98" s="5">
        <v>1215</v>
      </c>
      <c r="E98" s="5">
        <v>1515</v>
      </c>
      <c r="F98" s="5">
        <v>1601</v>
      </c>
      <c r="G98" s="5">
        <v>1530</v>
      </c>
      <c r="H98" s="67">
        <f>AVERAGE(C98:G98)</f>
        <v>1418.8</v>
      </c>
      <c r="I98" s="68">
        <f t="shared" ref="I98:L98" si="113">AVERAGE(D98:H98)</f>
        <v>1455.96</v>
      </c>
      <c r="J98" s="68">
        <f t="shared" si="113"/>
        <v>1504.152</v>
      </c>
      <c r="K98" s="68">
        <f t="shared" si="113"/>
        <v>1501.9824000000001</v>
      </c>
      <c r="L98" s="68">
        <f t="shared" si="113"/>
        <v>1482.1788799999999</v>
      </c>
    </row>
    <row r="99" spans="2:12" ht="15.75" x14ac:dyDescent="0.3">
      <c r="B99" s="14" t="s">
        <v>123</v>
      </c>
      <c r="C99" s="5">
        <v>2144</v>
      </c>
      <c r="D99" s="5">
        <v>1979</v>
      </c>
      <c r="E99" s="5">
        <v>1861</v>
      </c>
      <c r="F99" s="5">
        <v>1836</v>
      </c>
      <c r="G99" s="5">
        <v>1953</v>
      </c>
      <c r="H99" s="67">
        <f>H17*H31</f>
        <v>2394.7571016903594</v>
      </c>
      <c r="I99" s="68">
        <f t="shared" ref="I99:L99" si="114">I17*I31</f>
        <v>2656.0823993199037</v>
      </c>
      <c r="J99" s="68">
        <f t="shared" si="114"/>
        <v>2766.0826084191112</v>
      </c>
      <c r="K99" s="68">
        <f t="shared" si="114"/>
        <v>3266.8301190381508</v>
      </c>
      <c r="L99" s="68">
        <f t="shared" si="114"/>
        <v>3608.6713341028963</v>
      </c>
    </row>
    <row r="100" spans="2:12" ht="15.75" x14ac:dyDescent="0.3">
      <c r="B100" s="14" t="s">
        <v>82</v>
      </c>
      <c r="C100" s="5">
        <v>98</v>
      </c>
      <c r="D100" s="5">
        <v>112</v>
      </c>
      <c r="E100" s="5">
        <v>46</v>
      </c>
      <c r="F100" s="5">
        <v>112</v>
      </c>
      <c r="G100" s="5">
        <v>45</v>
      </c>
      <c r="H100" s="20">
        <v>0</v>
      </c>
      <c r="I100" s="5">
        <v>0</v>
      </c>
      <c r="J100" s="5">
        <v>0</v>
      </c>
      <c r="K100" s="5">
        <v>0</v>
      </c>
      <c r="L100" s="5">
        <v>0</v>
      </c>
    </row>
    <row r="101" spans="2:12" ht="15.75" x14ac:dyDescent="0.3">
      <c r="B101" s="14" t="s">
        <v>83</v>
      </c>
      <c r="C101" s="5">
        <v>0</v>
      </c>
      <c r="D101" s="5">
        <v>37</v>
      </c>
      <c r="E101" s="5">
        <v>0</v>
      </c>
      <c r="F101" s="5">
        <v>0</v>
      </c>
      <c r="G101" s="5">
        <v>0</v>
      </c>
      <c r="H101" s="20">
        <v>0</v>
      </c>
      <c r="I101" s="5">
        <v>0</v>
      </c>
      <c r="J101" s="5">
        <v>0</v>
      </c>
      <c r="K101" s="5">
        <v>0</v>
      </c>
      <c r="L101" s="5">
        <v>0</v>
      </c>
    </row>
    <row r="102" spans="2:12" ht="15.75" x14ac:dyDescent="0.3">
      <c r="B102" s="16" t="s">
        <v>46</v>
      </c>
      <c r="C102" s="5">
        <v>-277</v>
      </c>
      <c r="D102" s="5">
        <v>-6</v>
      </c>
      <c r="E102" s="5">
        <v>-2</v>
      </c>
      <c r="F102" s="5">
        <v>-46</v>
      </c>
      <c r="G102" s="5">
        <v>-9672</v>
      </c>
      <c r="H102" s="20">
        <v>0</v>
      </c>
      <c r="I102" s="5">
        <v>0</v>
      </c>
      <c r="J102" s="5">
        <v>0</v>
      </c>
      <c r="K102" s="5">
        <v>0</v>
      </c>
      <c r="L102" s="5">
        <v>0</v>
      </c>
    </row>
    <row r="103" spans="2:12" ht="15.75" x14ac:dyDescent="0.3">
      <c r="B103" s="14" t="s">
        <v>62</v>
      </c>
      <c r="C103" s="5">
        <v>3460</v>
      </c>
      <c r="D103" s="5">
        <v>0</v>
      </c>
      <c r="E103" s="5">
        <v>0</v>
      </c>
      <c r="F103" s="5">
        <v>4079</v>
      </c>
      <c r="G103" s="5">
        <v>5283</v>
      </c>
      <c r="H103" s="20">
        <v>0</v>
      </c>
      <c r="I103" s="5">
        <v>0</v>
      </c>
      <c r="J103" s="5">
        <v>0</v>
      </c>
      <c r="K103" s="5">
        <v>0</v>
      </c>
      <c r="L103" s="5">
        <v>0</v>
      </c>
    </row>
    <row r="104" spans="2:12" ht="15.75" x14ac:dyDescent="0.3">
      <c r="B104" s="16" t="s">
        <v>63</v>
      </c>
      <c r="C104" s="5">
        <v>360</v>
      </c>
      <c r="D104" s="5">
        <v>364</v>
      </c>
      <c r="E104" s="5">
        <v>3</v>
      </c>
      <c r="F104" s="5">
        <v>528</v>
      </c>
      <c r="G104" s="5">
        <v>264</v>
      </c>
      <c r="H104" s="110">
        <f>AVERAGE(E104:G104)</f>
        <v>265</v>
      </c>
      <c r="I104" s="111">
        <f t="shared" ref="I104:L104" si="115">AVERAGE(F104:H104)</f>
        <v>352.33333333333331</v>
      </c>
      <c r="J104" s="111">
        <f t="shared" si="115"/>
        <v>293.77777777777777</v>
      </c>
      <c r="K104" s="111">
        <f t="shared" si="115"/>
        <v>303.7037037037037</v>
      </c>
      <c r="L104" s="111">
        <f t="shared" si="115"/>
        <v>316.60493827160491</v>
      </c>
    </row>
    <row r="105" spans="2:12" ht="15.75" x14ac:dyDescent="0.3">
      <c r="B105" s="31" t="s">
        <v>51</v>
      </c>
      <c r="C105" s="27"/>
      <c r="D105" s="27"/>
      <c r="E105" s="27"/>
      <c r="F105" s="27"/>
      <c r="G105" s="32"/>
      <c r="H105" s="109"/>
      <c r="I105" s="109"/>
      <c r="J105" s="109"/>
      <c r="K105" s="109"/>
      <c r="L105" s="109"/>
    </row>
    <row r="106" spans="2:12" ht="15.75" x14ac:dyDescent="0.3">
      <c r="B106" s="14" t="s">
        <v>52</v>
      </c>
      <c r="C106" s="18">
        <v>-713</v>
      </c>
      <c r="D106" s="18">
        <v>142</v>
      </c>
      <c r="E106" s="18">
        <v>-128</v>
      </c>
      <c r="F106" s="18">
        <v>-37</v>
      </c>
      <c r="G106" s="18">
        <v>-95</v>
      </c>
      <c r="H106" s="67">
        <f>-(H58-G58)</f>
        <v>-731.05758357158311</v>
      </c>
      <c r="I106" s="68">
        <f t="shared" ref="I106:L106" si="116">-(I58-H58)</f>
        <v>-259.24041666933135</v>
      </c>
      <c r="J106" s="68">
        <f t="shared" si="116"/>
        <v>-297.20994529158315</v>
      </c>
      <c r="K106" s="68">
        <f t="shared" si="116"/>
        <v>-689.91223698797148</v>
      </c>
      <c r="L106" s="68">
        <f t="shared" si="116"/>
        <v>-432.61041966014454</v>
      </c>
    </row>
    <row r="107" spans="2:12" ht="15.75" x14ac:dyDescent="0.3">
      <c r="B107" s="14" t="s">
        <v>28</v>
      </c>
      <c r="C107" s="18">
        <v>-586</v>
      </c>
      <c r="D107" s="18">
        <v>6</v>
      </c>
      <c r="E107" s="18">
        <v>321</v>
      </c>
      <c r="F107" s="18">
        <v>-60</v>
      </c>
      <c r="G107" s="18">
        <v>-677</v>
      </c>
      <c r="H107" s="67">
        <f>-(H59-G59)</f>
        <v>539.60000000000036</v>
      </c>
      <c r="I107" s="68">
        <f t="shared" ref="I107:L107" si="117">-(I59-H59)</f>
        <v>0.31999999999970896</v>
      </c>
      <c r="J107" s="68">
        <f t="shared" si="117"/>
        <v>3.183999999999287</v>
      </c>
      <c r="K107" s="68">
        <f t="shared" si="117"/>
        <v>-59.579200000000128</v>
      </c>
      <c r="L107" s="68">
        <f t="shared" si="117"/>
        <v>-62.295040000000881</v>
      </c>
    </row>
    <row r="108" spans="2:12" ht="15.75" x14ac:dyDescent="0.3">
      <c r="B108" s="14" t="s">
        <v>53</v>
      </c>
      <c r="C108" s="18">
        <v>2505</v>
      </c>
      <c r="D108" s="18">
        <v>108</v>
      </c>
      <c r="E108" s="18">
        <v>3365</v>
      </c>
      <c r="F108" s="18">
        <v>4069</v>
      </c>
      <c r="G108" s="18">
        <v>-723</v>
      </c>
      <c r="H108" s="67">
        <f>H74-G74</f>
        <v>5628.2744590559741</v>
      </c>
      <c r="I108" s="68">
        <f t="shared" ref="I108:L108" si="118">I74-H74</f>
        <v>6579.8442491881142</v>
      </c>
      <c r="J108" s="68">
        <f t="shared" si="118"/>
        <v>6093.7052738714265</v>
      </c>
      <c r="K108" s="68">
        <f t="shared" si="118"/>
        <v>11787.521024035959</v>
      </c>
      <c r="L108" s="68">
        <f t="shared" si="118"/>
        <v>9654.7796186587948</v>
      </c>
    </row>
    <row r="109" spans="2:12" ht="15.75" x14ac:dyDescent="0.3">
      <c r="B109" s="14" t="s">
        <v>54</v>
      </c>
      <c r="C109" s="18">
        <v>-1127</v>
      </c>
      <c r="D109" s="18">
        <v>420</v>
      </c>
      <c r="E109" s="18">
        <v>-1681</v>
      </c>
      <c r="F109" s="18">
        <v>-12353</v>
      </c>
      <c r="G109" s="33">
        <v>-1501</v>
      </c>
      <c r="H109" s="68">
        <f>(G61-H61)</f>
        <v>-21313.187045630271</v>
      </c>
      <c r="I109" s="68">
        <f t="shared" ref="I109:L109" si="119">(H61-I61)</f>
        <v>-10679.632875471914</v>
      </c>
      <c r="J109" s="68">
        <f t="shared" si="119"/>
        <v>-4666.7334587105288</v>
      </c>
      <c r="K109" s="68">
        <f t="shared" si="119"/>
        <v>-22464.436744028062</v>
      </c>
      <c r="L109" s="68">
        <f t="shared" si="119"/>
        <v>-14754.275663420442</v>
      </c>
    </row>
    <row r="110" spans="2:12" ht="15.75" x14ac:dyDescent="0.3">
      <c r="B110" s="14" t="s">
        <v>19</v>
      </c>
      <c r="C110" s="18">
        <v>345</v>
      </c>
      <c r="D110" s="18">
        <v>-591</v>
      </c>
      <c r="E110" s="18">
        <v>389</v>
      </c>
      <c r="F110" s="18">
        <v>-16</v>
      </c>
      <c r="G110" s="33">
        <v>155</v>
      </c>
      <c r="H110" s="68">
        <f>(G62-H62)</f>
        <v>-218.00989041626508</v>
      </c>
      <c r="I110" s="68">
        <f t="shared" ref="I110:L110" si="120">(H62-I62)</f>
        <v>-254.86872293754368</v>
      </c>
      <c r="J110" s="68">
        <f t="shared" si="120"/>
        <v>-236.03824380813012</v>
      </c>
      <c r="K110" s="68">
        <f t="shared" si="120"/>
        <v>-456.58686075528158</v>
      </c>
      <c r="L110" s="68">
        <f t="shared" si="120"/>
        <v>-373.97562289633515</v>
      </c>
    </row>
    <row r="111" spans="2:12" ht="15.75" x14ac:dyDescent="0.3">
      <c r="B111" s="14" t="s">
        <v>16</v>
      </c>
      <c r="C111" s="18">
        <v>-3783</v>
      </c>
      <c r="D111" s="18">
        <v>838</v>
      </c>
      <c r="E111" s="18">
        <v>1672</v>
      </c>
      <c r="F111" s="18">
        <v>-793</v>
      </c>
      <c r="G111" s="33">
        <v>724</v>
      </c>
      <c r="H111" s="68">
        <f>(H72-G72)</f>
        <v>1969.8973500714346</v>
      </c>
      <c r="I111" s="68">
        <f>(I72-H72)</f>
        <v>1636.064929654618</v>
      </c>
      <c r="J111" s="68">
        <f t="shared" ref="J111:L111" si="121">(J72-I72)</f>
        <v>1446.515195810367</v>
      </c>
      <c r="K111" s="68">
        <f t="shared" si="121"/>
        <v>2556.4453438063138</v>
      </c>
      <c r="L111" s="68">
        <f t="shared" si="121"/>
        <v>2109.4711453415912</v>
      </c>
    </row>
    <row r="112" spans="2:12" ht="15.75" x14ac:dyDescent="0.3">
      <c r="B112" s="14" t="s">
        <v>34</v>
      </c>
      <c r="C112" s="18">
        <v>-3687</v>
      </c>
      <c r="D112" s="18">
        <v>2956</v>
      </c>
      <c r="E112" s="18">
        <v>779</v>
      </c>
      <c r="F112" s="18">
        <v>1563</v>
      </c>
      <c r="G112" s="33">
        <v>1341</v>
      </c>
      <c r="H112" s="68">
        <f>H73-G73</f>
        <v>2571.4934531889812</v>
      </c>
      <c r="I112" s="68">
        <f t="shared" ref="I112:L112" si="122">I73-H73</f>
        <v>3006.2546759008583</v>
      </c>
      <c r="J112" s="68">
        <f t="shared" si="122"/>
        <v>2784.143405126666</v>
      </c>
      <c r="K112" s="68">
        <f t="shared" si="122"/>
        <v>5385.5819155841382</v>
      </c>
      <c r="L112" s="68">
        <f t="shared" si="122"/>
        <v>4411.1570539024033</v>
      </c>
    </row>
    <row r="113" spans="2:12" ht="15.75" x14ac:dyDescent="0.3">
      <c r="B113" s="14" t="s">
        <v>64</v>
      </c>
      <c r="C113" s="18">
        <v>733</v>
      </c>
      <c r="D113" s="18">
        <v>1347</v>
      </c>
      <c r="E113" s="18">
        <v>44</v>
      </c>
      <c r="F113" s="18">
        <v>-567</v>
      </c>
      <c r="G113" s="18">
        <v>115</v>
      </c>
      <c r="H113" s="67">
        <f>H68-G68</f>
        <v>0</v>
      </c>
      <c r="I113" s="68">
        <f t="shared" ref="I113:L113" si="123">I68-H68</f>
        <v>0</v>
      </c>
      <c r="J113" s="68">
        <f t="shared" si="123"/>
        <v>0</v>
      </c>
      <c r="K113" s="68">
        <f t="shared" si="123"/>
        <v>0</v>
      </c>
      <c r="L113" s="68">
        <f t="shared" si="123"/>
        <v>0</v>
      </c>
    </row>
    <row r="114" spans="2:12" ht="15.75" x14ac:dyDescent="0.3">
      <c r="B114" s="14" t="s">
        <v>39</v>
      </c>
      <c r="C114" s="18">
        <v>-206</v>
      </c>
      <c r="D114" s="18">
        <v>-158</v>
      </c>
      <c r="E114" s="18">
        <v>-313</v>
      </c>
      <c r="F114" s="18">
        <v>-329</v>
      </c>
      <c r="G114" s="33">
        <v>-346</v>
      </c>
      <c r="H114" s="68">
        <f>H80-G80</f>
        <v>0</v>
      </c>
      <c r="I114" s="68">
        <f t="shared" ref="I114:L114" si="124">I80-H80</f>
        <v>0</v>
      </c>
      <c r="J114" s="68">
        <f t="shared" si="124"/>
        <v>0</v>
      </c>
      <c r="K114" s="68">
        <f t="shared" si="124"/>
        <v>0</v>
      </c>
      <c r="L114" s="68">
        <f t="shared" si="124"/>
        <v>0</v>
      </c>
    </row>
    <row r="115" spans="2:12" ht="15.75" x14ac:dyDescent="0.3">
      <c r="B115" s="14" t="s">
        <v>65</v>
      </c>
      <c r="C115" s="18">
        <v>-972</v>
      </c>
      <c r="D115" s="18">
        <v>-1378</v>
      </c>
      <c r="E115" s="18">
        <v>-1049</v>
      </c>
      <c r="F115" s="18">
        <v>-959</v>
      </c>
      <c r="G115" s="18">
        <v>-593</v>
      </c>
      <c r="H115" s="67">
        <f>AVERAGE(E115:G115)</f>
        <v>-867</v>
      </c>
      <c r="I115" s="68">
        <f t="shared" ref="I115:L115" si="125">AVERAGE(F115:H115)</f>
        <v>-806.33333333333337</v>
      </c>
      <c r="J115" s="68">
        <f t="shared" si="125"/>
        <v>-755.44444444444446</v>
      </c>
      <c r="K115" s="68">
        <f t="shared" si="125"/>
        <v>-809.59259259259261</v>
      </c>
      <c r="L115" s="68">
        <f t="shared" si="125"/>
        <v>-790.45679012345681</v>
      </c>
    </row>
    <row r="116" spans="2:12" ht="15.75" x14ac:dyDescent="0.3">
      <c r="B116" s="14" t="s">
        <v>124</v>
      </c>
      <c r="C116" s="18">
        <v>210</v>
      </c>
      <c r="D116" s="18">
        <v>142</v>
      </c>
      <c r="E116" s="18">
        <v>571</v>
      </c>
      <c r="F116" s="18">
        <v>512</v>
      </c>
      <c r="G116" s="33">
        <v>274</v>
      </c>
      <c r="H116" s="68">
        <f>-(H64-G64)</f>
        <v>50</v>
      </c>
      <c r="I116" s="68">
        <f t="shared" ref="I116:L116" si="126">-(I64-H64)</f>
        <v>50</v>
      </c>
      <c r="J116" s="68">
        <f t="shared" si="126"/>
        <v>50</v>
      </c>
      <c r="K116" s="68">
        <f t="shared" si="126"/>
        <v>50</v>
      </c>
      <c r="L116" s="68">
        <f t="shared" si="126"/>
        <v>41</v>
      </c>
    </row>
    <row r="117" spans="2:12" ht="15.75" x14ac:dyDescent="0.3">
      <c r="B117" s="14" t="s">
        <v>66</v>
      </c>
      <c r="C117" s="18">
        <v>304</v>
      </c>
      <c r="D117" s="18">
        <v>307</v>
      </c>
      <c r="E117" s="18">
        <v>119</v>
      </c>
      <c r="F117" s="18">
        <v>202</v>
      </c>
      <c r="G117" s="33">
        <v>324</v>
      </c>
      <c r="H117" s="68">
        <f>AVERAGE(E117:G117)</f>
        <v>215</v>
      </c>
      <c r="I117" s="68">
        <f t="shared" ref="I117:L117" si="127">AVERAGE(F117:H117)</f>
        <v>247</v>
      </c>
      <c r="J117" s="68">
        <f t="shared" si="127"/>
        <v>262</v>
      </c>
      <c r="K117" s="68">
        <f t="shared" si="127"/>
        <v>241.33333333333334</v>
      </c>
      <c r="L117" s="68">
        <f t="shared" si="127"/>
        <v>250.11111111111111</v>
      </c>
    </row>
    <row r="118" spans="2:12" ht="15.75" x14ac:dyDescent="0.3">
      <c r="B118" s="30" t="s">
        <v>55</v>
      </c>
      <c r="C118" s="25">
        <f>SUM(C96:C117)</f>
        <v>-3416</v>
      </c>
      <c r="D118" s="25">
        <f>SUM(D96:D117)</f>
        <v>3512</v>
      </c>
      <c r="E118" s="25">
        <f>SUM(E96:E117)</f>
        <v>5960</v>
      </c>
      <c r="F118" s="25">
        <f>SUM(F96:F117)</f>
        <v>-12080</v>
      </c>
      <c r="G118" s="26">
        <f>SUM(G96:G117)</f>
        <v>1065</v>
      </c>
      <c r="H118" s="25">
        <f t="shared" ref="H118:L118" si="128">SUM(H96:H117)</f>
        <v>-13285.814099432071</v>
      </c>
      <c r="I118" s="25">
        <f t="shared" si="128"/>
        <v>-1788.9130176925987</v>
      </c>
      <c r="J118" s="25">
        <f t="shared" si="128"/>
        <v>2990.445053328785</v>
      </c>
      <c r="K118" s="25">
        <f t="shared" si="128"/>
        <v>-6497.1459976033684</v>
      </c>
      <c r="L118" s="25">
        <f t="shared" si="128"/>
        <v>-2336.2633475826224</v>
      </c>
    </row>
    <row r="119" spans="2:12" ht="15.75" x14ac:dyDescent="0.3">
      <c r="B119" s="14" t="s">
        <v>112</v>
      </c>
      <c r="C119" s="18">
        <v>-980</v>
      </c>
      <c r="D119" s="18">
        <v>-1222</v>
      </c>
      <c r="E119" s="18">
        <v>-1527</v>
      </c>
      <c r="F119" s="18">
        <v>-2230</v>
      </c>
      <c r="G119" s="18">
        <v>-2942</v>
      </c>
      <c r="H119" s="67">
        <f>AVERAGE(C119:G119)</f>
        <v>-1780.2</v>
      </c>
      <c r="I119" s="68">
        <f t="shared" ref="I119:L119" si="129">AVERAGE(D119:H119)</f>
        <v>-1940.2400000000002</v>
      </c>
      <c r="J119" s="68">
        <f t="shared" si="129"/>
        <v>-2083.8879999999999</v>
      </c>
      <c r="K119" s="68">
        <f t="shared" si="129"/>
        <v>-2195.2656000000002</v>
      </c>
      <c r="L119" s="68">
        <f t="shared" si="129"/>
        <v>-2188.3187200000002</v>
      </c>
    </row>
    <row r="120" spans="2:12" ht="15.75" x14ac:dyDescent="0.3">
      <c r="B120" s="14" t="s">
        <v>67</v>
      </c>
      <c r="C120" s="18">
        <v>529</v>
      </c>
      <c r="D120" s="18">
        <v>35</v>
      </c>
      <c r="E120" s="18">
        <v>27</v>
      </c>
      <c r="F120" s="18">
        <v>49</v>
      </c>
      <c r="G120" s="33">
        <v>82</v>
      </c>
      <c r="H120" s="68">
        <f>AVERAGE(C120:G120)</f>
        <v>144.4</v>
      </c>
      <c r="I120" s="68">
        <f t="shared" ref="I120:L120" si="130">AVERAGE(F120:H120)</f>
        <v>91.8</v>
      </c>
      <c r="J120" s="68">
        <f t="shared" si="130"/>
        <v>106.06666666666666</v>
      </c>
      <c r="K120" s="68">
        <f t="shared" si="130"/>
        <v>114.08888888888889</v>
      </c>
      <c r="L120" s="68">
        <f t="shared" si="130"/>
        <v>103.98518518518519</v>
      </c>
    </row>
    <row r="121" spans="2:12" ht="15.75" x14ac:dyDescent="0.3">
      <c r="B121" s="14" t="s">
        <v>70</v>
      </c>
      <c r="C121" s="18">
        <v>-6</v>
      </c>
      <c r="D121" s="18">
        <v>0</v>
      </c>
      <c r="E121" s="18">
        <v>-70</v>
      </c>
      <c r="F121" s="18">
        <v>-50</v>
      </c>
      <c r="G121" s="33">
        <v>-1248</v>
      </c>
      <c r="H121" s="68">
        <v>0</v>
      </c>
      <c r="I121" s="68">
        <v>0</v>
      </c>
      <c r="J121" s="68">
        <v>0</v>
      </c>
      <c r="K121" s="68">
        <v>0</v>
      </c>
      <c r="L121" s="68">
        <v>0</v>
      </c>
    </row>
    <row r="122" spans="2:12" ht="15.75" x14ac:dyDescent="0.3">
      <c r="B122" s="14" t="s">
        <v>69</v>
      </c>
      <c r="C122" s="18">
        <v>0</v>
      </c>
      <c r="D122" s="18">
        <v>0</v>
      </c>
      <c r="E122" s="18">
        <v>0</v>
      </c>
      <c r="F122" s="18">
        <v>124</v>
      </c>
      <c r="G122" s="33">
        <v>10585</v>
      </c>
      <c r="H122" s="68">
        <v>0</v>
      </c>
      <c r="I122" s="68">
        <v>0</v>
      </c>
      <c r="J122" s="68">
        <v>0</v>
      </c>
      <c r="K122" s="68">
        <v>0</v>
      </c>
      <c r="L122" s="68">
        <v>0</v>
      </c>
    </row>
    <row r="123" spans="2:12" ht="15.75" x14ac:dyDescent="0.3">
      <c r="B123" s="14" t="s">
        <v>68</v>
      </c>
      <c r="C123" s="18">
        <v>-35713</v>
      </c>
      <c r="D123" s="18">
        <v>-5051</v>
      </c>
      <c r="E123" s="18">
        <v>-16448</v>
      </c>
      <c r="F123" s="18">
        <v>-13856</v>
      </c>
      <c r="G123" s="33">
        <v>-51938</v>
      </c>
      <c r="H123" s="68">
        <f>AVERAGE(C123:G123)</f>
        <v>-24601.200000000001</v>
      </c>
      <c r="I123" s="68">
        <f t="shared" ref="I123:L123" si="131">AVERAGE(D123:H123)</f>
        <v>-22378.84</v>
      </c>
      <c r="J123" s="68">
        <f t="shared" si="131"/>
        <v>-25844.407999999999</v>
      </c>
      <c r="K123" s="68">
        <f t="shared" si="131"/>
        <v>-27723.689600000002</v>
      </c>
      <c r="L123" s="68">
        <f t="shared" si="131"/>
        <v>-30497.227519999997</v>
      </c>
    </row>
    <row r="124" spans="2:12" ht="15.75" x14ac:dyDescent="0.3">
      <c r="B124" s="14" t="s">
        <v>71</v>
      </c>
      <c r="C124" s="18">
        <v>45489</v>
      </c>
      <c r="D124" s="18">
        <v>10619</v>
      </c>
      <c r="E124" s="18">
        <v>15739</v>
      </c>
      <c r="F124" s="18">
        <v>4743</v>
      </c>
      <c r="G124" s="33">
        <v>46628</v>
      </c>
      <c r="H124" s="68">
        <f>AVERAGE(C124:G124)</f>
        <v>24643.599999999999</v>
      </c>
      <c r="I124" s="68">
        <f t="shared" ref="I124:L124" si="132">AVERAGE(D124:H124)</f>
        <v>20474.52</v>
      </c>
      <c r="J124" s="68">
        <f t="shared" si="132"/>
        <v>22445.624000000003</v>
      </c>
      <c r="K124" s="68">
        <f t="shared" si="132"/>
        <v>23786.948800000002</v>
      </c>
      <c r="L124" s="68">
        <f t="shared" si="132"/>
        <v>27595.738560000005</v>
      </c>
    </row>
    <row r="125" spans="2:12" ht="15.75" x14ac:dyDescent="0.3">
      <c r="B125" s="14" t="s">
        <v>72</v>
      </c>
      <c r="C125" s="18">
        <v>0</v>
      </c>
      <c r="D125" s="18">
        <v>0</v>
      </c>
      <c r="E125" s="18">
        <f>-162</f>
        <v>-162</v>
      </c>
      <c r="F125" s="18">
        <v>-694</v>
      </c>
      <c r="G125" s="33">
        <v>-662</v>
      </c>
      <c r="H125" s="68">
        <f>AVERAGE(E125:G125)</f>
        <v>-506</v>
      </c>
      <c r="I125" s="68">
        <f t="shared" ref="I125:L125" si="133">AVERAGE(F125:H125)</f>
        <v>-620.66666666666663</v>
      </c>
      <c r="J125" s="68">
        <f t="shared" si="133"/>
        <v>-596.22222222222217</v>
      </c>
      <c r="K125" s="68">
        <f t="shared" si="133"/>
        <v>-574.29629629629619</v>
      </c>
      <c r="L125" s="68">
        <f t="shared" si="133"/>
        <v>-597.06172839506155</v>
      </c>
    </row>
    <row r="126" spans="2:12" ht="15.75" x14ac:dyDescent="0.3">
      <c r="B126" s="14" t="s">
        <v>73</v>
      </c>
      <c r="C126" s="18">
        <v>0</v>
      </c>
      <c r="D126" s="18">
        <v>0</v>
      </c>
      <c r="E126" s="18"/>
      <c r="F126" s="18">
        <v>40</v>
      </c>
      <c r="G126" s="33">
        <v>2</v>
      </c>
      <c r="H126" s="68">
        <v>0</v>
      </c>
      <c r="I126" s="68">
        <v>0</v>
      </c>
      <c r="J126" s="68">
        <v>0</v>
      </c>
      <c r="K126" s="68">
        <v>0</v>
      </c>
      <c r="L126" s="68">
        <v>0</v>
      </c>
    </row>
    <row r="127" spans="2:12" ht="15.75" x14ac:dyDescent="0.3">
      <c r="B127" s="16" t="s">
        <v>74</v>
      </c>
      <c r="C127" s="18">
        <v>0</v>
      </c>
      <c r="D127" s="18">
        <v>0</v>
      </c>
      <c r="E127" s="18"/>
      <c r="F127" s="18">
        <v>-88</v>
      </c>
      <c r="G127" s="33">
        <v>-9</v>
      </c>
      <c r="H127" s="68">
        <v>0</v>
      </c>
      <c r="I127" s="68">
        <v>0</v>
      </c>
      <c r="J127" s="68">
        <v>0</v>
      </c>
      <c r="K127" s="68">
        <v>0</v>
      </c>
      <c r="L127" s="68">
        <v>0</v>
      </c>
    </row>
    <row r="128" spans="2:12" ht="15.75" x14ac:dyDescent="0.3">
      <c r="B128" s="16" t="s">
        <v>75</v>
      </c>
      <c r="C128" s="18">
        <v>5</v>
      </c>
      <c r="D128" s="18">
        <v>-11</v>
      </c>
      <c r="E128" s="18">
        <v>4</v>
      </c>
      <c r="F128" s="18">
        <v>-11</v>
      </c>
      <c r="G128" s="35">
        <v>1</v>
      </c>
      <c r="H128" s="68">
        <f>AVERAGE(C128:G128)</f>
        <v>-2.4</v>
      </c>
      <c r="I128" s="68">
        <f t="shared" ref="I128:L128" si="134">AVERAGE(D128:H128)</f>
        <v>-3.88</v>
      </c>
      <c r="J128" s="68">
        <f t="shared" si="134"/>
        <v>-2.4560000000000004</v>
      </c>
      <c r="K128" s="68">
        <f t="shared" si="134"/>
        <v>-3.7472000000000003</v>
      </c>
      <c r="L128" s="68">
        <f t="shared" si="134"/>
        <v>-2.29664</v>
      </c>
    </row>
    <row r="129" spans="2:12" ht="15.75" x14ac:dyDescent="0.3">
      <c r="B129" s="30" t="s">
        <v>57</v>
      </c>
      <c r="C129" s="25">
        <f>SUM(C119:C128)</f>
        <v>9324</v>
      </c>
      <c r="D129" s="25">
        <f t="shared" ref="D129:L129" si="135">SUM(D119:D128)</f>
        <v>4370</v>
      </c>
      <c r="E129" s="25">
        <f t="shared" si="135"/>
        <v>-2437</v>
      </c>
      <c r="F129" s="25">
        <f t="shared" si="135"/>
        <v>-11973</v>
      </c>
      <c r="G129" s="26">
        <f t="shared" si="135"/>
        <v>499</v>
      </c>
      <c r="H129" s="25">
        <f t="shared" si="135"/>
        <v>-2101.8000000000015</v>
      </c>
      <c r="I129" s="25">
        <f t="shared" si="135"/>
        <v>-4377.3066666666655</v>
      </c>
      <c r="J129" s="25">
        <f t="shared" si="135"/>
        <v>-5975.2835555555521</v>
      </c>
      <c r="K129" s="25">
        <f t="shared" si="135"/>
        <v>-6595.9610074074071</v>
      </c>
      <c r="L129" s="25">
        <f t="shared" si="135"/>
        <v>-5585.1808632098664</v>
      </c>
    </row>
    <row r="130" spans="2:12" ht="15.75" x14ac:dyDescent="0.3">
      <c r="B130" s="14" t="s">
        <v>76</v>
      </c>
      <c r="C130" s="18">
        <v>9795</v>
      </c>
      <c r="D130" s="18">
        <v>34</v>
      </c>
      <c r="E130" s="18">
        <v>75</v>
      </c>
      <c r="F130" s="18">
        <v>10161</v>
      </c>
      <c r="G130" s="33">
        <v>165</v>
      </c>
      <c r="H130" s="68">
        <f>G130</f>
        <v>165</v>
      </c>
      <c r="I130" s="68">
        <f t="shared" ref="I130:L130" si="136">H130</f>
        <v>165</v>
      </c>
      <c r="J130" s="68">
        <f t="shared" si="136"/>
        <v>165</v>
      </c>
      <c r="K130" s="68">
        <f t="shared" si="136"/>
        <v>165</v>
      </c>
      <c r="L130" s="68">
        <f t="shared" si="136"/>
        <v>165</v>
      </c>
    </row>
    <row r="131" spans="2:12" ht="15.75" x14ac:dyDescent="0.3">
      <c r="B131" s="14" t="s">
        <v>77</v>
      </c>
      <c r="C131" s="18">
        <v>-15371</v>
      </c>
      <c r="D131" s="18">
        <v>-1310</v>
      </c>
      <c r="E131" s="18">
        <v>-5216</v>
      </c>
      <c r="F131" s="18">
        <v>-8673</v>
      </c>
      <c r="G131" s="33">
        <v>-3621</v>
      </c>
      <c r="H131" s="68">
        <f>G131</f>
        <v>-3621</v>
      </c>
      <c r="I131" s="68">
        <f t="shared" ref="I131:L131" si="137">H131</f>
        <v>-3621</v>
      </c>
      <c r="J131" s="68">
        <f t="shared" si="137"/>
        <v>-3621</v>
      </c>
      <c r="K131" s="68">
        <f t="shared" si="137"/>
        <v>-3621</v>
      </c>
      <c r="L131" s="68">
        <f t="shared" si="137"/>
        <v>-3621</v>
      </c>
    </row>
    <row r="132" spans="2:12" ht="15.75" x14ac:dyDescent="0.3">
      <c r="B132" s="14" t="s">
        <v>84</v>
      </c>
      <c r="C132" s="18">
        <v>0</v>
      </c>
      <c r="D132" s="18">
        <v>0</v>
      </c>
      <c r="E132" s="18">
        <v>0</v>
      </c>
      <c r="F132" s="18">
        <v>18200</v>
      </c>
      <c r="G132" s="33">
        <v>0</v>
      </c>
      <c r="H132" s="68">
        <v>0</v>
      </c>
      <c r="I132" s="68">
        <v>0</v>
      </c>
      <c r="J132" s="68">
        <v>0</v>
      </c>
      <c r="K132" s="68">
        <v>0</v>
      </c>
      <c r="L132" s="68">
        <v>0</v>
      </c>
    </row>
    <row r="133" spans="2:12" ht="15.75" x14ac:dyDescent="0.3">
      <c r="B133" s="14" t="s">
        <v>78</v>
      </c>
      <c r="C133" s="18">
        <v>0</v>
      </c>
      <c r="D133" s="18">
        <v>0</v>
      </c>
      <c r="E133" s="18">
        <v>0</v>
      </c>
      <c r="F133" s="18">
        <v>5657</v>
      </c>
      <c r="G133" s="33">
        <v>0</v>
      </c>
      <c r="H133" s="68">
        <v>0</v>
      </c>
      <c r="I133" s="68">
        <v>0</v>
      </c>
      <c r="J133" s="68">
        <v>0</v>
      </c>
      <c r="K133" s="68">
        <v>0</v>
      </c>
      <c r="L133" s="68">
        <v>0</v>
      </c>
    </row>
    <row r="134" spans="2:12" ht="15.75" x14ac:dyDescent="0.3">
      <c r="B134" s="16" t="s">
        <v>79</v>
      </c>
      <c r="C134" s="18">
        <v>42</v>
      </c>
      <c r="D134" s="18">
        <v>50</v>
      </c>
      <c r="E134" s="18">
        <v>45</v>
      </c>
      <c r="F134" s="18">
        <v>0</v>
      </c>
      <c r="G134" s="33">
        <v>0</v>
      </c>
      <c r="H134" s="68">
        <f>G134</f>
        <v>0</v>
      </c>
      <c r="I134" s="68">
        <f t="shared" ref="I134:L134" si="138">H134</f>
        <v>0</v>
      </c>
      <c r="J134" s="68">
        <f t="shared" si="138"/>
        <v>0</v>
      </c>
      <c r="K134" s="68">
        <f t="shared" si="138"/>
        <v>0</v>
      </c>
      <c r="L134" s="68">
        <f t="shared" si="138"/>
        <v>0</v>
      </c>
    </row>
    <row r="135" spans="2:12" ht="15.75" x14ac:dyDescent="0.3">
      <c r="B135" s="16" t="s">
        <v>80</v>
      </c>
      <c r="C135" s="18">
        <v>-66</v>
      </c>
      <c r="D135" s="18">
        <v>-40</v>
      </c>
      <c r="E135" s="18">
        <v>-408</v>
      </c>
      <c r="F135" s="18">
        <v>-83</v>
      </c>
      <c r="G135" s="33">
        <v>-34</v>
      </c>
      <c r="H135" s="68">
        <f>AVERAGE(C135:G135)</f>
        <v>-126.2</v>
      </c>
      <c r="I135" s="68">
        <f t="shared" ref="I135:L135" si="139">AVERAGE(D135:H135)</f>
        <v>-138.24</v>
      </c>
      <c r="J135" s="68">
        <f t="shared" si="139"/>
        <v>-157.88800000000001</v>
      </c>
      <c r="K135" s="68">
        <f t="shared" si="139"/>
        <v>-107.8656</v>
      </c>
      <c r="L135" s="68">
        <f t="shared" si="139"/>
        <v>-112.83872</v>
      </c>
    </row>
    <row r="136" spans="2:12" ht="15.75" x14ac:dyDescent="0.3">
      <c r="B136" s="16" t="s">
        <v>81</v>
      </c>
      <c r="C136" s="18">
        <v>0</v>
      </c>
      <c r="D136" s="18">
        <v>0</v>
      </c>
      <c r="E136" s="18">
        <v>0</v>
      </c>
      <c r="F136" s="18">
        <v>0</v>
      </c>
      <c r="G136" s="33">
        <v>-331</v>
      </c>
      <c r="H136" s="68">
        <f>G136</f>
        <v>-331</v>
      </c>
      <c r="I136" s="68">
        <f t="shared" ref="I136:L137" si="140">H136</f>
        <v>-331</v>
      </c>
      <c r="J136" s="68">
        <f t="shared" si="140"/>
        <v>-331</v>
      </c>
      <c r="K136" s="68">
        <f t="shared" si="140"/>
        <v>-331</v>
      </c>
      <c r="L136" s="68">
        <f t="shared" si="140"/>
        <v>-331</v>
      </c>
    </row>
    <row r="137" spans="2:12" ht="15.75" x14ac:dyDescent="0.3">
      <c r="B137" s="16" t="s">
        <v>75</v>
      </c>
      <c r="C137" s="18">
        <v>0</v>
      </c>
      <c r="D137" s="18">
        <v>0</v>
      </c>
      <c r="E137" s="18">
        <v>17</v>
      </c>
      <c r="F137" s="18">
        <v>-53</v>
      </c>
      <c r="G137" s="33">
        <v>58</v>
      </c>
      <c r="H137" s="110">
        <f>G137</f>
        <v>58</v>
      </c>
      <c r="I137" s="68">
        <f t="shared" si="140"/>
        <v>58</v>
      </c>
      <c r="J137" s="68">
        <f t="shared" si="140"/>
        <v>58</v>
      </c>
      <c r="K137" s="68">
        <f t="shared" si="140"/>
        <v>58</v>
      </c>
      <c r="L137" s="68">
        <f t="shared" si="140"/>
        <v>58</v>
      </c>
    </row>
    <row r="138" spans="2:12" ht="15.75" x14ac:dyDescent="0.3">
      <c r="B138" s="36" t="s">
        <v>58</v>
      </c>
      <c r="C138" s="25">
        <f t="shared" ref="C138:E138" si="141">SUM(C130:C137)</f>
        <v>-5600</v>
      </c>
      <c r="D138" s="25">
        <f t="shared" si="141"/>
        <v>-1266</v>
      </c>
      <c r="E138" s="25">
        <f t="shared" si="141"/>
        <v>-5487</v>
      </c>
      <c r="F138" s="25">
        <f>SUM(F130:F137)</f>
        <v>25209</v>
      </c>
      <c r="G138" s="26">
        <f>SUM(G130:G137)</f>
        <v>-3763</v>
      </c>
      <c r="H138" s="25">
        <f t="shared" ref="H138:L138" si="142">SUM(H130:H137)</f>
        <v>-3855.2</v>
      </c>
      <c r="I138" s="25">
        <f t="shared" si="142"/>
        <v>-3867.24</v>
      </c>
      <c r="J138" s="25">
        <f t="shared" si="142"/>
        <v>-3886.8879999999999</v>
      </c>
      <c r="K138" s="25">
        <f t="shared" si="142"/>
        <v>-3836.8656000000001</v>
      </c>
      <c r="L138" s="25">
        <f t="shared" si="142"/>
        <v>-3841.8387200000002</v>
      </c>
    </row>
    <row r="139" spans="2:12" ht="15.75" x14ac:dyDescent="0.3">
      <c r="B139" s="16" t="s">
        <v>85</v>
      </c>
      <c r="C139" s="18">
        <v>-39</v>
      </c>
      <c r="D139" s="18">
        <v>-73</v>
      </c>
      <c r="E139" s="18">
        <v>30</v>
      </c>
      <c r="F139" s="18">
        <v>-47</v>
      </c>
      <c r="G139" s="34">
        <v>40</v>
      </c>
      <c r="H139" s="113">
        <f>AVERAGE(C139:G139)</f>
        <v>-17.8</v>
      </c>
      <c r="I139" s="70">
        <f t="shared" ref="I139:L139" si="143">AVERAGE(D139:H139)</f>
        <v>-13.559999999999999</v>
      </c>
      <c r="J139" s="70">
        <f t="shared" si="143"/>
        <v>-1.6719999999999999</v>
      </c>
      <c r="K139" s="70">
        <f t="shared" si="143"/>
        <v>-8.0063999999999993</v>
      </c>
      <c r="L139" s="70">
        <f t="shared" si="143"/>
        <v>-0.2076799999999997</v>
      </c>
    </row>
    <row r="140" spans="2:12" ht="16.5" thickBot="1" x14ac:dyDescent="0.35">
      <c r="B140" s="28" t="s">
        <v>59</v>
      </c>
      <c r="C140" s="13">
        <f>SUM(C138,C129,C118,C139)</f>
        <v>269</v>
      </c>
      <c r="D140" s="13">
        <f>SUM(D138,D129,D118,D139)</f>
        <v>6543</v>
      </c>
      <c r="E140" s="13">
        <f>SUM(E138,E129,E118,E139)</f>
        <v>-1934</v>
      </c>
      <c r="F140" s="13">
        <f>SUM(F138,F129,F118,F139)</f>
        <v>1109</v>
      </c>
      <c r="G140" s="21">
        <f>SUM(G138,G129,G118,G139)</f>
        <v>-2159</v>
      </c>
      <c r="H140" s="13">
        <f t="shared" ref="H140:L140" si="144">SUM(H138,H129,H118,H139)</f>
        <v>-19260.61409943207</v>
      </c>
      <c r="I140" s="13">
        <f t="shared" si="144"/>
        <v>-10047.019684359264</v>
      </c>
      <c r="J140" s="13">
        <f t="shared" si="144"/>
        <v>-6873.3985022267671</v>
      </c>
      <c r="K140" s="13">
        <f t="shared" si="144"/>
        <v>-16937.979005010773</v>
      </c>
      <c r="L140" s="13">
        <f t="shared" si="144"/>
        <v>-11763.490610792489</v>
      </c>
    </row>
    <row r="141" spans="2:12" ht="16.5" thickTop="1" x14ac:dyDescent="0.3">
      <c r="B141" s="16" t="s">
        <v>87</v>
      </c>
      <c r="C141" s="18">
        <v>7835</v>
      </c>
      <c r="D141" s="18">
        <v>8104</v>
      </c>
      <c r="E141" s="18">
        <v>14647</v>
      </c>
      <c r="F141" s="18">
        <v>12713</v>
      </c>
      <c r="G141" s="33">
        <v>13822</v>
      </c>
      <c r="H141" s="68">
        <f>G142</f>
        <v>11663</v>
      </c>
      <c r="I141" s="68">
        <f t="shared" ref="I141:L141" si="145">H142</f>
        <v>-7597.6140994320704</v>
      </c>
      <c r="J141" s="68">
        <f t="shared" si="145"/>
        <v>-17644.633783791334</v>
      </c>
      <c r="K141" s="68">
        <f t="shared" si="145"/>
        <v>-24518.0322860181</v>
      </c>
      <c r="L141" s="68">
        <f t="shared" si="145"/>
        <v>-41456.011291028874</v>
      </c>
    </row>
    <row r="142" spans="2:12" ht="15.75" x14ac:dyDescent="0.3">
      <c r="B142" s="16" t="s">
        <v>86</v>
      </c>
      <c r="C142" s="18">
        <v>8104</v>
      </c>
      <c r="D142" s="18">
        <v>14647</v>
      </c>
      <c r="E142" s="18">
        <v>12713</v>
      </c>
      <c r="F142" s="18">
        <v>13822</v>
      </c>
      <c r="G142" s="33">
        <v>11663</v>
      </c>
      <c r="H142" s="68">
        <f>H141+H140</f>
        <v>-7597.6140994320704</v>
      </c>
      <c r="I142" s="68">
        <f t="shared" ref="I142:L142" si="146">I141+I140</f>
        <v>-17644.633783791334</v>
      </c>
      <c r="J142" s="68">
        <f t="shared" si="146"/>
        <v>-24518.0322860181</v>
      </c>
      <c r="K142" s="68">
        <f t="shared" si="146"/>
        <v>-41456.011291028874</v>
      </c>
      <c r="L142" s="68">
        <f t="shared" si="146"/>
        <v>-53219.501901821364</v>
      </c>
    </row>
    <row r="143" spans="2:12" ht="15.75" x14ac:dyDescent="0.3">
      <c r="B143" s="16" t="s">
        <v>88</v>
      </c>
      <c r="C143" s="18">
        <v>52</v>
      </c>
      <c r="D143" s="18">
        <v>33</v>
      </c>
      <c r="E143" s="18">
        <v>22</v>
      </c>
      <c r="F143" s="18">
        <v>21</v>
      </c>
      <c r="G143" s="33">
        <v>742</v>
      </c>
      <c r="H143" s="110">
        <f>AVERAGE(C143:G143)</f>
        <v>174</v>
      </c>
      <c r="I143" s="68">
        <f t="shared" ref="I143:L143" si="147">AVERAGE(D143:H143)</f>
        <v>198.4</v>
      </c>
      <c r="J143" s="68">
        <f t="shared" si="147"/>
        <v>231.48000000000002</v>
      </c>
      <c r="K143" s="68">
        <f t="shared" si="147"/>
        <v>273.37600000000003</v>
      </c>
      <c r="L143" s="68">
        <f t="shared" si="147"/>
        <v>323.85120000000001</v>
      </c>
    </row>
    <row r="144" spans="2:12" ht="16.5" thickBot="1" x14ac:dyDescent="0.35">
      <c r="B144" s="28" t="s">
        <v>89</v>
      </c>
      <c r="C144" s="37">
        <f>SUM(C142-C143)</f>
        <v>8052</v>
      </c>
      <c r="D144" s="37">
        <f>SUM(D142-D143)</f>
        <v>14614</v>
      </c>
      <c r="E144" s="37">
        <f>SUM(E142-E143)</f>
        <v>12691</v>
      </c>
      <c r="F144" s="37">
        <f>SUM(F142-F143)</f>
        <v>13801</v>
      </c>
      <c r="G144" s="38">
        <f>SUM(G142-G143)</f>
        <v>10921</v>
      </c>
      <c r="H144" s="37">
        <f t="shared" ref="H144:L144" si="148">SUM(H142-H143)</f>
        <v>-7771.6140994320704</v>
      </c>
      <c r="I144" s="37">
        <f t="shared" si="148"/>
        <v>-17843.033783791336</v>
      </c>
      <c r="J144" s="37">
        <f t="shared" si="148"/>
        <v>-24749.5122860181</v>
      </c>
      <c r="K144" s="37">
        <f t="shared" si="148"/>
        <v>-41729.38729102887</v>
      </c>
      <c r="L144" s="37">
        <f t="shared" si="148"/>
        <v>-53543.353101821362</v>
      </c>
    </row>
    <row r="145" spans="2:12" ht="16.5" thickTop="1" x14ac:dyDescent="0.3">
      <c r="B145" s="16" t="s">
        <v>113</v>
      </c>
      <c r="C145" s="39" t="str">
        <f>IF(C144=C56, "✓", "✗")</f>
        <v>✓</v>
      </c>
      <c r="D145" s="39" t="str">
        <f t="shared" ref="D145:L145" si="149">IF(D144=D56, "✓", "✗")</f>
        <v>✓</v>
      </c>
      <c r="E145" s="39" t="str">
        <f t="shared" si="149"/>
        <v>✓</v>
      </c>
      <c r="F145" s="39" t="str">
        <f t="shared" si="149"/>
        <v>✓</v>
      </c>
      <c r="G145" s="39" t="str">
        <f t="shared" si="149"/>
        <v>✓</v>
      </c>
      <c r="H145" s="39" t="str">
        <f>IF(H144=H56, "✓", "✗")</f>
        <v>✓</v>
      </c>
      <c r="I145" s="39" t="str">
        <f t="shared" si="149"/>
        <v>✓</v>
      </c>
      <c r="J145" s="39" t="str">
        <f t="shared" si="149"/>
        <v>✓</v>
      </c>
      <c r="K145" s="39" t="str">
        <f t="shared" si="149"/>
        <v>✓</v>
      </c>
      <c r="L145" s="39" t="str">
        <f t="shared" si="149"/>
        <v>✓</v>
      </c>
    </row>
  </sheetData>
  <pageMargins left="0.7" right="0.7" top="0.75" bottom="0.75" header="0.3" footer="0.3"/>
  <pageSetup orientation="portrait" horizontalDpi="1200" verticalDpi="1200" r:id="rId1"/>
  <ignoredErrors>
    <ignoredError sqref="C63 C118 H46 H41 H39 H52 H50 H104 H115:L115 H117:L117" formulaRange="1"/>
    <ignoredError sqref="H51 I51:L51 H20:L20" formula="1"/>
    <ignoredError sqref="H116 I116:L116" formula="1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3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Nguyen</dc:creator>
  <cp:lastModifiedBy>Tim Nguyen</cp:lastModifiedBy>
  <dcterms:created xsi:type="dcterms:W3CDTF">2026-04-18T04:58:16Z</dcterms:created>
  <dcterms:modified xsi:type="dcterms:W3CDTF">2026-04-27T07:50:48Z</dcterms:modified>
</cp:coreProperties>
</file>